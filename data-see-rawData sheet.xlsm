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omments2.xml" ContentType="application/vnd.openxmlformats-officedocument.spreadsheetml.comments+xml"/>
  <Override PartName="/xl/drawings/drawing2.xml" ContentType="application/vnd.openxmlformats-officedocument.drawing+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4505" yWindow="-15" windowWidth="14310" windowHeight="12855" activeTab="4"/>
  </bookViews>
  <sheets>
    <sheet name="User" sheetId="8" r:id="rId1"/>
    <sheet name="Calc" sheetId="3" state="veryHidden" r:id="rId2"/>
    <sheet name="Settings" sheetId="14" r:id="rId3"/>
    <sheet name="Summary" sheetId="9" r:id="rId4"/>
    <sheet name="RawData" sheetId="15" r:id="rId5"/>
    <sheet name="Report" sheetId="17" r:id="rId6"/>
    <sheet name="Command" sheetId="13" state="veryHidden" r:id="rId7"/>
    <sheet name="Module1" sheetId="4" state="veryHidden" r:id=""/>
  </sheets>
  <definedNames>
    <definedName name="A_cal">Settings!$C$6</definedName>
    <definedName name="AccessSummary">Settings!$E$6</definedName>
    <definedName name="AccessSummaryFN">Settings!$F$6</definedName>
    <definedName name="Air_Voltage">Settings!$C$10</definedName>
    <definedName name="AirVoltageError">Calc!$R$4</definedName>
    <definedName name="AirVoltageRange">Settings!$E$25</definedName>
    <definedName name="AirVStdev">Settings!$O$15</definedName>
    <definedName name="AnalysisMode">User!$H$6</definedName>
    <definedName name="AreaFrac">Settings!$C$15</definedName>
    <definedName name="Auger_Coefficient">Settings!$C$13</definedName>
    <definedName name="AutoRescale">Settings!$E$14</definedName>
    <definedName name="AutoSummary">Settings!$E$7</definedName>
    <definedName name="AveInvTau">Calc!#REF!</definedName>
    <definedName name="B_cal">Settings!$C$7</definedName>
    <definedName name="BaseGainFlag">Command!$E$5</definedName>
    <definedName name="BiasLight">User!$G$6</definedName>
    <definedName name="BiasPtCD">Calc!$X$6</definedName>
    <definedName name="C_cal">Settings!$C$9</definedName>
    <definedName name="C_wafer">Settings!$H$6</definedName>
    <definedName name="CouplingMode">Settings!$C$14</definedName>
    <definedName name="Dark_Voltage">Calc!$A$6</definedName>
    <definedName name="ExcelAutosave">Settings!$E$11</definedName>
    <definedName name="ExcelSummary">Settings!$E$4</definedName>
    <definedName name="ExcelSummaryFN">Settings!$F$4</definedName>
    <definedName name="FirstPoint">Calc!$J$6</definedName>
    <definedName name="Fit_Range">Settings!$C$16</definedName>
    <definedName name="FitIntercept">Calc!$O$6</definedName>
    <definedName name="FitInterceptAuger">Calc!$U$6</definedName>
    <definedName name="FitRangeMax">Calc!$F$6</definedName>
    <definedName name="FitRangeMin">Calc!$E$6</definedName>
    <definedName name="FitSlope">Calc!$N$6</definedName>
    <definedName name="FitSlopeAuger">Calc!$T$6</definedName>
    <definedName name="flashWaitFlag">Command!$E$10</definedName>
    <definedName name="ImpliedVoc1sun">Calc!$Z$6</definedName>
    <definedName name="InputResistivity">User!$C$6</definedName>
    <definedName name="InstrumentSN">Settings!$C$4</definedName>
    <definedName name="InstrumentType">Settings!$C$3</definedName>
    <definedName name="IsLogged">User!$K$6</definedName>
    <definedName name="Jo">Calc!$W$6</definedName>
    <definedName name="LifetimeTextLabel">Calc!$M$1</definedName>
    <definedName name="LightBiasErrorMsg">Calc!$R$3</definedName>
    <definedName name="ltransientFlag">Command!$E$7</definedName>
    <definedName name="MaxApparentCD">Calc!$H$6</definedName>
    <definedName name="MaxSuns">Calc!$G$6</definedName>
    <definedName name="MaxTauLimit">Settings!$C$21</definedName>
    <definedName name="MCDErrorMsg">Calc!$R$2</definedName>
    <definedName name="MeasDate">Calc!$F$2</definedName>
    <definedName name="MeasTime">Calc!$F$3</definedName>
    <definedName name="MeasureCmd">Command!$H$4</definedName>
    <definedName name="MeasuredLifetime">Calc!$L$6</definedName>
    <definedName name="MeasuredLifetimeAuger">Calc!$P$6</definedName>
    <definedName name="MeasuredResistivity">Calc!$C$6</definedName>
    <definedName name="MinApparentCD">Calc!$K$6</definedName>
    <definedName name="MinTauLimit">Settings!$C$20</definedName>
    <definedName name="Mode_List">Command!$B$32:$B$34</definedName>
    <definedName name="ntransientFlag">Command!$E$8</definedName>
    <definedName name="numflashes">Command!$C$11</definedName>
    <definedName name="numFlashesFlag">Command!$E$11</definedName>
    <definedName name="NumFlashesInitial">Settings!$E$20</definedName>
    <definedName name="OptConst">User!$E$6</definedName>
    <definedName name="PassFailMsg">Settings!$C$22</definedName>
    <definedName name="PathName">Command!$H$3</definedName>
    <definedName name="PC_ZoomIn">Command!$C$23</definedName>
    <definedName name="PC_ZoomOut">Command!$C$22</definedName>
    <definedName name="PCGainFlag">Command!$E$3</definedName>
    <definedName name="PCRange">Command!$C$3</definedName>
    <definedName name="PCVoltageUpperBound">Command!$C$17</definedName>
    <definedName name="PCVoltUpperBound">Command!$C$17</definedName>
    <definedName name="PulseLength">Settings!$E$28</definedName>
    <definedName name="PulseLengthFlag">Command!$E$6</definedName>
    <definedName name="QSSFlashDelay">Settings!$E$21</definedName>
    <definedName name="Ref_ZoomIn">Command!$E$23</definedName>
    <definedName name="Ref_ZoomOut">Command!$E$22</definedName>
    <definedName name="RefCellCal">Settings!$C$5</definedName>
    <definedName name="RefCellErrorMsg">Calc!$R$1</definedName>
    <definedName name="RefGainFlag">Command!$E$4</definedName>
    <definedName name="RefRange">Command!$C$4</definedName>
    <definedName name="RefVoltageUpperBound">Command!$E$17</definedName>
    <definedName name="SampleDoping">Calc!$D$6</definedName>
    <definedName name="SampleNameUserSheet">User!$A$6</definedName>
    <definedName name="SampleType">User!$D$6</definedName>
    <definedName name="SheetResistance">Calc!$B$6</definedName>
    <definedName name="ShowUserForm">Settings!$E$17</definedName>
    <definedName name="solver_adj" localSheetId="1" hidden="1">Calc!#REF!,Calc!#REF!</definedName>
    <definedName name="solver_drv" localSheetId="1" hidden="1">1</definedName>
    <definedName name="solver_est" localSheetId="1" hidden="1">1</definedName>
    <definedName name="solver_itr" localSheetId="1" hidden="1">10</definedName>
    <definedName name="solver_lin" localSheetId="1" hidden="1">1</definedName>
    <definedName name="solver_num" localSheetId="1" hidden="1">0</definedName>
    <definedName name="solver_nwt" localSheetId="1" hidden="1">1</definedName>
    <definedName name="solver_opt" localSheetId="1" hidden="1">Calc!#REF!</definedName>
    <definedName name="solver_pre" localSheetId="1" hidden="1">0.001</definedName>
    <definedName name="solver_scl" localSheetId="1" hidden="1">2</definedName>
    <definedName name="solver_sho" localSheetId="1" hidden="1">2</definedName>
    <definedName name="solver_tim" localSheetId="1" hidden="1">30</definedName>
    <definedName name="solver_tol" localSheetId="1" hidden="1">0.05</definedName>
    <definedName name="solver_typ" localSheetId="1" hidden="1">2</definedName>
    <definedName name="solver_val" localSheetId="1" hidden="1">0</definedName>
    <definedName name="SpecMCD">User!$F$6</definedName>
    <definedName name="SpecMCDminusTraps">Calc!$S$6</definedName>
    <definedName name="TauFitIntercept">Calc!$V$6</definedName>
    <definedName name="TauInvspecMCD">Calc!$R$6</definedName>
    <definedName name="TextSummary">Settings!$E$5</definedName>
    <definedName name="TextSummaryFN">Settings!$F$5</definedName>
    <definedName name="TF_List">Command!$B$29:$B$30</definedName>
    <definedName name="TF_PassFail">Settings!$C$19</definedName>
    <definedName name="Thickness">User!$B$6</definedName>
    <definedName name="TimeofMaxCD">Calc!$I$6</definedName>
    <definedName name="TimeScaleFlags">Command!$H$7</definedName>
    <definedName name="TNumTaus">Settings!$E$30</definedName>
    <definedName name="TransFlashDelay">Settings!$E$22</definedName>
    <definedName name="Traps">Calc!$Y$6</definedName>
    <definedName name="TSampleTime">Settings!$E$29</definedName>
    <definedName name="type_list">Command!$B$36:$B$37</definedName>
    <definedName name="VRangeList">Command!$D$30:$D$37</definedName>
    <definedName name="xferFlag">Command!$E$9</definedName>
    <definedName name="ZeroInstrCmd">Command!$H$5</definedName>
    <definedName name="ZeroInstTime">Settings!$O$17</definedName>
  </definedNames>
  <calcPr calcId="145621"/>
</workbook>
</file>

<file path=xl/calcChain.xml><?xml version="1.0" encoding="utf-8"?>
<calcChain xmlns="http://schemas.openxmlformats.org/spreadsheetml/2006/main">
  <c r="B134" i="3" l="1"/>
  <c r="B136" i="3"/>
  <c r="B138" i="3"/>
  <c r="B140" i="3"/>
  <c r="B142" i="3"/>
  <c r="B144" i="3"/>
  <c r="B146" i="3"/>
  <c r="B148" i="3"/>
  <c r="B150" i="3"/>
  <c r="B152" i="3"/>
  <c r="B154" i="3"/>
  <c r="B156" i="3"/>
  <c r="B158" i="3"/>
  <c r="B160" i="3"/>
  <c r="B162" i="3"/>
  <c r="B164" i="3"/>
  <c r="B166" i="3"/>
  <c r="B168" i="3"/>
  <c r="B170" i="3"/>
  <c r="B172" i="3"/>
  <c r="B174" i="3"/>
  <c r="B176" i="3"/>
  <c r="B178" i="3"/>
  <c r="B180" i="3"/>
  <c r="B182" i="3"/>
  <c r="B184" i="3"/>
  <c r="B187" i="3"/>
  <c r="B189" i="3"/>
  <c r="B191" i="3"/>
  <c r="B193" i="3"/>
  <c r="B195" i="3"/>
  <c r="B197" i="3"/>
  <c r="B199" i="3"/>
  <c r="B201" i="3"/>
  <c r="B203" i="3"/>
  <c r="B205" i="3"/>
  <c r="B207" i="3"/>
  <c r="B209" i="3"/>
  <c r="B211" i="3"/>
  <c r="B213" i="3"/>
  <c r="B215" i="3"/>
  <c r="B217" i="3"/>
  <c r="B219" i="3"/>
  <c r="B221" i="3"/>
  <c r="B223" i="3"/>
  <c r="B225" i="3"/>
  <c r="B227" i="3"/>
  <c r="B229" i="3"/>
  <c r="B231" i="3"/>
  <c r="B234" i="3"/>
  <c r="B240" i="3"/>
  <c r="B244" i="3"/>
  <c r="B248" i="3"/>
  <c r="B250" i="3"/>
  <c r="B252" i="3"/>
  <c r="B258" i="3"/>
  <c r="B260" i="3"/>
  <c r="B265" i="3"/>
  <c r="B267" i="3"/>
  <c r="B269" i="3"/>
  <c r="B271" i="3"/>
  <c r="B273" i="3"/>
  <c r="B275" i="3"/>
  <c r="B277" i="3"/>
  <c r="H5" i="13" l="1"/>
  <c r="W9" i="3" l="1"/>
  <c r="W10" i="3"/>
  <c r="W132" i="3"/>
  <c r="W133" i="3"/>
  <c r="N134" i="3" l="1"/>
  <c r="I3" i="15" l="1"/>
  <c r="I125" i="15"/>
  <c r="I126" i="15"/>
  <c r="I2" i="15"/>
  <c r="C33" i="17" l="1"/>
  <c r="D40" i="17" l="1"/>
  <c r="D44" i="17"/>
  <c r="D38" i="17"/>
  <c r="D37" i="17"/>
  <c r="B29" i="17"/>
  <c r="B30" i="17"/>
  <c r="B28" i="17"/>
  <c r="D21" i="17"/>
  <c r="D18" i="17"/>
  <c r="D17" i="17"/>
  <c r="D9" i="17"/>
  <c r="A2" i="15" l="1"/>
  <c r="B2" i="15"/>
  <c r="C2" i="15"/>
  <c r="E2" i="15"/>
  <c r="F2" i="15"/>
  <c r="A3" i="15"/>
  <c r="B3" i="15"/>
  <c r="C3" i="15"/>
  <c r="E3" i="15"/>
  <c r="F3" i="15"/>
  <c r="A4" i="15"/>
  <c r="B4" i="15"/>
  <c r="C4" i="15"/>
  <c r="A5" i="15"/>
  <c r="B5" i="15"/>
  <c r="C5" i="15"/>
  <c r="A6" i="15"/>
  <c r="B6" i="15"/>
  <c r="C6" i="15"/>
  <c r="A7" i="15"/>
  <c r="B7" i="15"/>
  <c r="C7" i="15"/>
  <c r="A8" i="15"/>
  <c r="B8" i="15"/>
  <c r="C8" i="15"/>
  <c r="A9" i="15"/>
  <c r="B9" i="15"/>
  <c r="C9" i="15"/>
  <c r="A10" i="15"/>
  <c r="B10" i="15"/>
  <c r="C10" i="15"/>
  <c r="A11" i="15"/>
  <c r="B11" i="15"/>
  <c r="C11" i="15"/>
  <c r="A12" i="15"/>
  <c r="B12" i="15"/>
  <c r="C12" i="15"/>
  <c r="A13" i="15"/>
  <c r="B13" i="15"/>
  <c r="C13" i="15"/>
  <c r="A14" i="15"/>
  <c r="B14" i="15"/>
  <c r="C14" i="15"/>
  <c r="A15" i="15"/>
  <c r="B15" i="15"/>
  <c r="C15" i="15"/>
  <c r="A16" i="15"/>
  <c r="B16" i="15"/>
  <c r="C16" i="15"/>
  <c r="A17" i="15"/>
  <c r="B17" i="15"/>
  <c r="C17" i="15"/>
  <c r="A18" i="15"/>
  <c r="B18" i="15"/>
  <c r="C18" i="15"/>
  <c r="A19" i="15"/>
  <c r="B19" i="15"/>
  <c r="C19" i="15"/>
  <c r="A20" i="15"/>
  <c r="B20" i="15"/>
  <c r="C20" i="15"/>
  <c r="A21" i="15"/>
  <c r="B21" i="15"/>
  <c r="C21" i="15"/>
  <c r="A22" i="15"/>
  <c r="B22" i="15"/>
  <c r="C22" i="15"/>
  <c r="A23" i="15"/>
  <c r="B23" i="15"/>
  <c r="C23" i="15"/>
  <c r="A24" i="15"/>
  <c r="B24" i="15"/>
  <c r="C24" i="15"/>
  <c r="A25" i="15"/>
  <c r="B25" i="15"/>
  <c r="C25" i="15"/>
  <c r="A26" i="15"/>
  <c r="B26" i="15"/>
  <c r="C26" i="15"/>
  <c r="A27" i="15"/>
  <c r="B27" i="15"/>
  <c r="C27" i="15"/>
  <c r="A28" i="15"/>
  <c r="B28" i="15"/>
  <c r="C28" i="15"/>
  <c r="A29" i="15"/>
  <c r="B29" i="15"/>
  <c r="C29" i="15"/>
  <c r="A30" i="15"/>
  <c r="B30" i="15"/>
  <c r="C30" i="15"/>
  <c r="A31" i="15"/>
  <c r="B31" i="15"/>
  <c r="C31" i="15"/>
  <c r="A32" i="15"/>
  <c r="B32" i="15"/>
  <c r="C32" i="15"/>
  <c r="A33" i="15"/>
  <c r="B33" i="15"/>
  <c r="C33" i="15"/>
  <c r="A34" i="15"/>
  <c r="B34" i="15"/>
  <c r="C34" i="15"/>
  <c r="A35" i="15"/>
  <c r="B35" i="15"/>
  <c r="C35" i="15"/>
  <c r="A36" i="15"/>
  <c r="B36" i="15"/>
  <c r="C36" i="15"/>
  <c r="A37" i="15"/>
  <c r="B37" i="15"/>
  <c r="C37" i="15"/>
  <c r="A38" i="15"/>
  <c r="B38" i="15"/>
  <c r="C38" i="15"/>
  <c r="A39" i="15"/>
  <c r="B39" i="15"/>
  <c r="C39" i="15"/>
  <c r="A40" i="15"/>
  <c r="B40" i="15"/>
  <c r="C40" i="15"/>
  <c r="A41" i="15"/>
  <c r="B41" i="15"/>
  <c r="C41" i="15"/>
  <c r="A42" i="15"/>
  <c r="B42" i="15"/>
  <c r="C42" i="15"/>
  <c r="A43" i="15"/>
  <c r="B43" i="15"/>
  <c r="C43" i="15"/>
  <c r="A44" i="15"/>
  <c r="B44" i="15"/>
  <c r="C44" i="15"/>
  <c r="A45" i="15"/>
  <c r="B45" i="15"/>
  <c r="C45" i="15"/>
  <c r="A46" i="15"/>
  <c r="B46" i="15"/>
  <c r="C46" i="15"/>
  <c r="A47" i="15"/>
  <c r="B47" i="15"/>
  <c r="C47" i="15"/>
  <c r="A48" i="15"/>
  <c r="B48" i="15"/>
  <c r="C48" i="15"/>
  <c r="A49" i="15"/>
  <c r="B49" i="15"/>
  <c r="C49" i="15"/>
  <c r="A50" i="15"/>
  <c r="B50" i="15"/>
  <c r="C50" i="15"/>
  <c r="A51" i="15"/>
  <c r="B51" i="15"/>
  <c r="C51" i="15"/>
  <c r="A52" i="15"/>
  <c r="B52" i="15"/>
  <c r="C52" i="15"/>
  <c r="A53" i="15"/>
  <c r="B53" i="15"/>
  <c r="C53" i="15"/>
  <c r="A54" i="15"/>
  <c r="B54" i="15"/>
  <c r="C54" i="15"/>
  <c r="A55" i="15"/>
  <c r="B55" i="15"/>
  <c r="C55" i="15"/>
  <c r="A56" i="15"/>
  <c r="B56" i="15"/>
  <c r="C56" i="15"/>
  <c r="A57" i="15"/>
  <c r="B57" i="15"/>
  <c r="C57" i="15"/>
  <c r="A58" i="15"/>
  <c r="B58" i="15"/>
  <c r="C58" i="15"/>
  <c r="A59" i="15"/>
  <c r="B59" i="15"/>
  <c r="C59" i="15"/>
  <c r="A60" i="15"/>
  <c r="B60" i="15"/>
  <c r="C60" i="15"/>
  <c r="A61" i="15"/>
  <c r="B61" i="15"/>
  <c r="C61" i="15"/>
  <c r="A62" i="15"/>
  <c r="B62" i="15"/>
  <c r="C62" i="15"/>
  <c r="A63" i="15"/>
  <c r="B63" i="15"/>
  <c r="C63" i="15"/>
  <c r="A64" i="15"/>
  <c r="B64" i="15"/>
  <c r="C64" i="15"/>
  <c r="A65" i="15"/>
  <c r="B65" i="15"/>
  <c r="C65" i="15"/>
  <c r="A66" i="15"/>
  <c r="B66" i="15"/>
  <c r="C66" i="15"/>
  <c r="A67" i="15"/>
  <c r="B67" i="15"/>
  <c r="C67" i="15"/>
  <c r="A68" i="15"/>
  <c r="B68" i="15"/>
  <c r="C68" i="15"/>
  <c r="A69" i="15"/>
  <c r="B69" i="15"/>
  <c r="C69" i="15"/>
  <c r="A70" i="15"/>
  <c r="B70" i="15"/>
  <c r="C70" i="15"/>
  <c r="A71" i="15"/>
  <c r="B71" i="15"/>
  <c r="C71" i="15"/>
  <c r="A72" i="15"/>
  <c r="B72" i="15"/>
  <c r="C72" i="15"/>
  <c r="A73" i="15"/>
  <c r="B73" i="15"/>
  <c r="C73" i="15"/>
  <c r="A74" i="15"/>
  <c r="B74" i="15"/>
  <c r="C74" i="15"/>
  <c r="A75" i="15"/>
  <c r="B75" i="15"/>
  <c r="C75" i="15"/>
  <c r="A76" i="15"/>
  <c r="B76" i="15"/>
  <c r="C76" i="15"/>
  <c r="A77" i="15"/>
  <c r="B77" i="15"/>
  <c r="C77" i="15"/>
  <c r="A78" i="15"/>
  <c r="B78" i="15"/>
  <c r="C78" i="15"/>
  <c r="A79" i="15"/>
  <c r="B79" i="15"/>
  <c r="C79" i="15"/>
  <c r="A80" i="15"/>
  <c r="B80" i="15"/>
  <c r="C80" i="15"/>
  <c r="A81" i="15"/>
  <c r="B81" i="15"/>
  <c r="C81" i="15"/>
  <c r="A82" i="15"/>
  <c r="B82" i="15"/>
  <c r="C82" i="15"/>
  <c r="A83" i="15"/>
  <c r="B83" i="15"/>
  <c r="C83" i="15"/>
  <c r="A84" i="15"/>
  <c r="B84" i="15"/>
  <c r="C84" i="15"/>
  <c r="A85" i="15"/>
  <c r="B85" i="15"/>
  <c r="C85" i="15"/>
  <c r="A86" i="15"/>
  <c r="B86" i="15"/>
  <c r="C86" i="15"/>
  <c r="A87" i="15"/>
  <c r="B87" i="15"/>
  <c r="C87" i="15"/>
  <c r="A88" i="15"/>
  <c r="B88" i="15"/>
  <c r="C88" i="15"/>
  <c r="A89" i="15"/>
  <c r="B89" i="15"/>
  <c r="C89" i="15"/>
  <c r="A90" i="15"/>
  <c r="B90" i="15"/>
  <c r="C90" i="15"/>
  <c r="A91" i="15"/>
  <c r="B91" i="15"/>
  <c r="C91" i="15"/>
  <c r="A92" i="15"/>
  <c r="B92" i="15"/>
  <c r="C92" i="15"/>
  <c r="A93" i="15"/>
  <c r="B93" i="15"/>
  <c r="C93" i="15"/>
  <c r="A94" i="15"/>
  <c r="B94" i="15"/>
  <c r="C94" i="15"/>
  <c r="A95" i="15"/>
  <c r="B95" i="15"/>
  <c r="C95" i="15"/>
  <c r="A96" i="15"/>
  <c r="B96" i="15"/>
  <c r="C96" i="15"/>
  <c r="A97" i="15"/>
  <c r="B97" i="15"/>
  <c r="C97" i="15"/>
  <c r="A98" i="15"/>
  <c r="B98" i="15"/>
  <c r="C98" i="15"/>
  <c r="A99" i="15"/>
  <c r="B99" i="15"/>
  <c r="C99" i="15"/>
  <c r="A100" i="15"/>
  <c r="B100" i="15"/>
  <c r="C100" i="15"/>
  <c r="A101" i="15"/>
  <c r="B101" i="15"/>
  <c r="C101" i="15"/>
  <c r="A102" i="15"/>
  <c r="B102" i="15"/>
  <c r="C102" i="15"/>
  <c r="A103" i="15"/>
  <c r="B103" i="15"/>
  <c r="C103" i="15"/>
  <c r="A104" i="15"/>
  <c r="B104" i="15"/>
  <c r="C104" i="15"/>
  <c r="A105" i="15"/>
  <c r="B105" i="15"/>
  <c r="C105" i="15"/>
  <c r="A106" i="15"/>
  <c r="B106" i="15"/>
  <c r="C106" i="15"/>
  <c r="A107" i="15"/>
  <c r="B107" i="15"/>
  <c r="C107" i="15"/>
  <c r="A108" i="15"/>
  <c r="B108" i="15"/>
  <c r="C108" i="15"/>
  <c r="A109" i="15"/>
  <c r="B109" i="15"/>
  <c r="C109" i="15"/>
  <c r="A110" i="15"/>
  <c r="B110" i="15"/>
  <c r="C110" i="15"/>
  <c r="A111" i="15"/>
  <c r="B111" i="15"/>
  <c r="C111" i="15"/>
  <c r="A112" i="15"/>
  <c r="B112" i="15"/>
  <c r="C112" i="15"/>
  <c r="A113" i="15"/>
  <c r="B113" i="15"/>
  <c r="C113" i="15"/>
  <c r="A114" i="15"/>
  <c r="B114" i="15"/>
  <c r="C114" i="15"/>
  <c r="A115" i="15"/>
  <c r="B115" i="15"/>
  <c r="C115" i="15"/>
  <c r="A116" i="15"/>
  <c r="B116" i="15"/>
  <c r="C116" i="15"/>
  <c r="A117" i="15"/>
  <c r="B117" i="15"/>
  <c r="C117" i="15"/>
  <c r="A118" i="15"/>
  <c r="B118" i="15"/>
  <c r="C118" i="15"/>
  <c r="A119" i="15"/>
  <c r="B119" i="15"/>
  <c r="C119" i="15"/>
  <c r="A120" i="15"/>
  <c r="B120" i="15"/>
  <c r="C120" i="15"/>
  <c r="A121" i="15"/>
  <c r="B121" i="15"/>
  <c r="C121" i="15"/>
  <c r="A122" i="15"/>
  <c r="B122" i="15"/>
  <c r="C122" i="15"/>
  <c r="A123" i="15"/>
  <c r="B123" i="15"/>
  <c r="C123" i="15"/>
  <c r="A124" i="15"/>
  <c r="B124" i="15"/>
  <c r="C124" i="15"/>
  <c r="A125" i="15"/>
  <c r="B125" i="15"/>
  <c r="C125" i="15"/>
  <c r="E125" i="15"/>
  <c r="F125" i="15"/>
  <c r="A126" i="15"/>
  <c r="B126" i="15"/>
  <c r="C126" i="15"/>
  <c r="E126" i="15"/>
  <c r="F126" i="15"/>
  <c r="O15" i="14" l="1"/>
  <c r="X10"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9" i="3"/>
  <c r="C6" i="13" l="1"/>
  <c r="C7" i="13"/>
  <c r="C8" i="13"/>
  <c r="E6" i="13"/>
  <c r="E21" i="14"/>
  <c r="E21" i="13" l="1"/>
  <c r="C21" i="13"/>
  <c r="E18" i="13"/>
  <c r="C18" i="13"/>
  <c r="B18" i="13"/>
  <c r="E17" i="13"/>
  <c r="C17" i="13"/>
  <c r="D17" i="13" s="1"/>
  <c r="F17" i="13" l="1"/>
  <c r="D18" i="13"/>
  <c r="F18" i="13"/>
  <c r="C12" i="13" l="1"/>
  <c r="D12" i="13" s="1"/>
  <c r="E12" i="13" s="1"/>
  <c r="E11" i="13"/>
  <c r="E9" i="13"/>
  <c r="E8" i="13"/>
  <c r="H7" i="13" s="1"/>
  <c r="E7" i="13"/>
  <c r="D5" i="13" l="1"/>
  <c r="E5" i="13" s="1"/>
  <c r="D4" i="13"/>
  <c r="D3" i="13"/>
  <c r="E22" i="13" l="1"/>
  <c r="E23" i="13"/>
  <c r="C22" i="13"/>
  <c r="C23" i="13"/>
  <c r="E3" i="13"/>
  <c r="W2" i="9"/>
  <c r="U2" i="9"/>
  <c r="T2" i="9"/>
  <c r="S2" i="9"/>
  <c r="I2" i="9" l="1"/>
  <c r="H2" i="9"/>
  <c r="G2" i="9"/>
  <c r="F2" i="9"/>
  <c r="D2" i="9"/>
  <c r="C2" i="9"/>
  <c r="B2" i="9"/>
  <c r="A2" i="9"/>
  <c r="E12" i="14"/>
  <c r="C10" i="14" l="1"/>
  <c r="C9" i="14" s="1"/>
  <c r="D42" i="17" s="1"/>
  <c r="V139" i="3"/>
  <c r="U133" i="3"/>
  <c r="D133" i="3"/>
  <c r="U132" i="3"/>
  <c r="D132" i="3"/>
  <c r="U131" i="3"/>
  <c r="D131" i="3"/>
  <c r="U130" i="3"/>
  <c r="D130" i="3"/>
  <c r="U129" i="3"/>
  <c r="D129" i="3"/>
  <c r="U128" i="3"/>
  <c r="D128" i="3"/>
  <c r="U127" i="3"/>
  <c r="D127" i="3"/>
  <c r="U126" i="3"/>
  <c r="D126" i="3"/>
  <c r="U125" i="3"/>
  <c r="D125" i="3"/>
  <c r="U124" i="3"/>
  <c r="D124" i="3"/>
  <c r="U123" i="3"/>
  <c r="D123" i="3"/>
  <c r="U122" i="3"/>
  <c r="D122" i="3"/>
  <c r="U121" i="3"/>
  <c r="D121" i="3"/>
  <c r="U120" i="3"/>
  <c r="D120" i="3"/>
  <c r="U119" i="3"/>
  <c r="D119" i="3"/>
  <c r="U118" i="3"/>
  <c r="D118" i="3"/>
  <c r="U117" i="3"/>
  <c r="D117" i="3"/>
  <c r="U116" i="3"/>
  <c r="D116" i="3"/>
  <c r="U115" i="3"/>
  <c r="D115" i="3"/>
  <c r="U114" i="3"/>
  <c r="D114" i="3"/>
  <c r="U113" i="3"/>
  <c r="D113" i="3"/>
  <c r="U112" i="3"/>
  <c r="D112" i="3"/>
  <c r="U111" i="3"/>
  <c r="D111" i="3"/>
  <c r="U110" i="3"/>
  <c r="D110" i="3"/>
  <c r="U109" i="3"/>
  <c r="D109" i="3"/>
  <c r="U108" i="3"/>
  <c r="D108" i="3"/>
  <c r="U107" i="3"/>
  <c r="D107" i="3"/>
  <c r="U106" i="3"/>
  <c r="R4" i="3" l="1"/>
  <c r="V2" i="9"/>
  <c r="R107" i="3"/>
  <c r="R108" i="3"/>
  <c r="R109" i="3"/>
  <c r="R110" i="3"/>
  <c r="R111" i="3"/>
  <c r="R112" i="3"/>
  <c r="R113" i="3"/>
  <c r="R114" i="3"/>
  <c r="R115" i="3"/>
  <c r="R116" i="3"/>
  <c r="R117" i="3"/>
  <c r="R118" i="3"/>
  <c r="R119" i="3"/>
  <c r="R120" i="3"/>
  <c r="R121" i="3"/>
  <c r="R122" i="3"/>
  <c r="R123" i="3"/>
  <c r="R124" i="3"/>
  <c r="R125" i="3"/>
  <c r="R126" i="3"/>
  <c r="R127" i="3"/>
  <c r="R128" i="3"/>
  <c r="R129" i="3"/>
  <c r="R130" i="3"/>
  <c r="R131" i="3"/>
  <c r="E122" i="3"/>
  <c r="E114" i="3"/>
  <c r="E110" i="3"/>
  <c r="E118" i="3"/>
  <c r="E108" i="3"/>
  <c r="E112" i="3"/>
  <c r="E116" i="3"/>
  <c r="E120" i="3"/>
  <c r="E107" i="3"/>
  <c r="E109" i="3"/>
  <c r="E111" i="3"/>
  <c r="E113" i="3"/>
  <c r="E115" i="3"/>
  <c r="E117" i="3"/>
  <c r="E119" i="3"/>
  <c r="E121" i="3"/>
  <c r="E123" i="3"/>
  <c r="E124" i="3"/>
  <c r="E125" i="3"/>
  <c r="E126" i="3"/>
  <c r="E127" i="3"/>
  <c r="E128" i="3"/>
  <c r="E129" i="3"/>
  <c r="E130" i="3"/>
  <c r="E131" i="3"/>
  <c r="E132" i="3"/>
  <c r="Q132" i="3"/>
  <c r="R133" i="3"/>
  <c r="Q107" i="3"/>
  <c r="Q108" i="3"/>
  <c r="Q109" i="3"/>
  <c r="Q110" i="3"/>
  <c r="Q111" i="3"/>
  <c r="Q112" i="3"/>
  <c r="Q113" i="3"/>
  <c r="Q114" i="3"/>
  <c r="Q115" i="3"/>
  <c r="Q116" i="3"/>
  <c r="Q117" i="3"/>
  <c r="Q118" i="3"/>
  <c r="Q119" i="3"/>
  <c r="Q120" i="3"/>
  <c r="Q121" i="3"/>
  <c r="Q122" i="3"/>
  <c r="Q123" i="3"/>
  <c r="Q124" i="3"/>
  <c r="Q125" i="3"/>
  <c r="Q126" i="3"/>
  <c r="Q127" i="3"/>
  <c r="Q128" i="3"/>
  <c r="Q129" i="3"/>
  <c r="Q130" i="3"/>
  <c r="Q131" i="3"/>
  <c r="R132" i="3"/>
  <c r="E133" i="3"/>
  <c r="Q133" i="3"/>
  <c r="D106" i="3"/>
  <c r="U105" i="3"/>
  <c r="D105" i="3"/>
  <c r="U104" i="3"/>
  <c r="D104" i="3"/>
  <c r="U103" i="3"/>
  <c r="D103" i="3"/>
  <c r="U102" i="3"/>
  <c r="D102" i="3"/>
  <c r="U101" i="3"/>
  <c r="D101" i="3"/>
  <c r="U100" i="3"/>
  <c r="D100" i="3"/>
  <c r="U99" i="3"/>
  <c r="R101" i="3" l="1"/>
  <c r="R103" i="3"/>
  <c r="R106" i="3"/>
  <c r="R100" i="3"/>
  <c r="R102" i="3"/>
  <c r="R104" i="3"/>
  <c r="R105" i="3"/>
  <c r="E105" i="3"/>
  <c r="E101" i="3"/>
  <c r="E103" i="3"/>
  <c r="E100" i="3"/>
  <c r="E102" i="3"/>
  <c r="E104" i="3"/>
  <c r="E106" i="3"/>
  <c r="Q100" i="3"/>
  <c r="Q101" i="3"/>
  <c r="Q102" i="3"/>
  <c r="Q103" i="3"/>
  <c r="Q104" i="3"/>
  <c r="Q105" i="3"/>
  <c r="Q106" i="3"/>
  <c r="D99" i="3"/>
  <c r="U98" i="3"/>
  <c r="D98" i="3"/>
  <c r="U97" i="3"/>
  <c r="Q98" i="3" l="1"/>
  <c r="Q99" i="3"/>
  <c r="R99" i="3"/>
  <c r="E98" i="3"/>
  <c r="R98" i="3"/>
  <c r="E99" i="3"/>
  <c r="D97" i="3"/>
  <c r="U96" i="3"/>
  <c r="D96" i="3"/>
  <c r="U95" i="3"/>
  <c r="D95" i="3"/>
  <c r="U94" i="3"/>
  <c r="D94" i="3"/>
  <c r="U93" i="3"/>
  <c r="D93" i="3"/>
  <c r="U92" i="3"/>
  <c r="D92" i="3"/>
  <c r="U91" i="3"/>
  <c r="D91" i="3"/>
  <c r="U90" i="3"/>
  <c r="D90" i="3"/>
  <c r="U89" i="3"/>
  <c r="D89" i="3"/>
  <c r="U88" i="3"/>
  <c r="D88" i="3"/>
  <c r="U87" i="3"/>
  <c r="D87" i="3"/>
  <c r="U86" i="3"/>
  <c r="D86" i="3"/>
  <c r="U85" i="3"/>
  <c r="D85" i="3"/>
  <c r="U84" i="3"/>
  <c r="D84" i="3"/>
  <c r="U83" i="3"/>
  <c r="D83" i="3"/>
  <c r="U82" i="3"/>
  <c r="D82" i="3"/>
  <c r="U81" i="3"/>
  <c r="D81" i="3"/>
  <c r="U80" i="3"/>
  <c r="D80" i="3"/>
  <c r="U79" i="3"/>
  <c r="D79" i="3"/>
  <c r="U78" i="3"/>
  <c r="D78" i="3"/>
  <c r="U77" i="3"/>
  <c r="D77" i="3"/>
  <c r="U76" i="3"/>
  <c r="D76" i="3"/>
  <c r="U75" i="3"/>
  <c r="D75" i="3"/>
  <c r="U74" i="3"/>
  <c r="D74" i="3"/>
  <c r="U73" i="3"/>
  <c r="D73" i="3"/>
  <c r="U72" i="3"/>
  <c r="D72" i="3"/>
  <c r="U71" i="3"/>
  <c r="D71" i="3"/>
  <c r="U70" i="3"/>
  <c r="D70" i="3"/>
  <c r="U69" i="3"/>
  <c r="D69" i="3"/>
  <c r="U68" i="3"/>
  <c r="D68" i="3"/>
  <c r="U67" i="3"/>
  <c r="D67" i="3"/>
  <c r="U66" i="3"/>
  <c r="D66" i="3"/>
  <c r="U65" i="3"/>
  <c r="D65" i="3"/>
  <c r="U64" i="3"/>
  <c r="D64" i="3"/>
  <c r="U63" i="3"/>
  <c r="D63" i="3"/>
  <c r="U62" i="3"/>
  <c r="D62" i="3"/>
  <c r="U61" i="3"/>
  <c r="D61" i="3"/>
  <c r="U60" i="3"/>
  <c r="D60" i="3"/>
  <c r="U59" i="3"/>
  <c r="D59" i="3"/>
  <c r="U58" i="3"/>
  <c r="D58" i="3"/>
  <c r="U57" i="3"/>
  <c r="D57" i="3"/>
  <c r="U56" i="3"/>
  <c r="D56" i="3"/>
  <c r="U55" i="3"/>
  <c r="D55" i="3"/>
  <c r="U54" i="3"/>
  <c r="D54" i="3"/>
  <c r="U53" i="3"/>
  <c r="D53" i="3"/>
  <c r="U52" i="3"/>
  <c r="D52" i="3"/>
  <c r="U51" i="3"/>
  <c r="D51" i="3"/>
  <c r="U50" i="3"/>
  <c r="D50" i="3"/>
  <c r="U49" i="3"/>
  <c r="D49" i="3"/>
  <c r="U48" i="3"/>
  <c r="D48" i="3"/>
  <c r="U47" i="3"/>
  <c r="D47" i="3"/>
  <c r="U46" i="3"/>
  <c r="D46" i="3"/>
  <c r="U45" i="3"/>
  <c r="E89" i="3" l="1"/>
  <c r="R90" i="3"/>
  <c r="R91" i="3"/>
  <c r="R92" i="3"/>
  <c r="R93" i="3"/>
  <c r="R94" i="3"/>
  <c r="R95" i="3"/>
  <c r="R96" i="3"/>
  <c r="E97"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E73" i="3"/>
  <c r="E57" i="3"/>
  <c r="E81" i="3"/>
  <c r="E49" i="3"/>
  <c r="E65" i="3"/>
  <c r="E53" i="3"/>
  <c r="E61" i="3"/>
  <c r="E69" i="3"/>
  <c r="E77" i="3"/>
  <c r="E85" i="3"/>
  <c r="E93" i="3"/>
  <c r="E47" i="3"/>
  <c r="E51" i="3"/>
  <c r="E55" i="3"/>
  <c r="E59" i="3"/>
  <c r="E63" i="3"/>
  <c r="E67" i="3"/>
  <c r="E71" i="3"/>
  <c r="E75" i="3"/>
  <c r="E79" i="3"/>
  <c r="E83" i="3"/>
  <c r="E87" i="3"/>
  <c r="E91" i="3"/>
  <c r="E95" i="3"/>
  <c r="E46" i="3"/>
  <c r="E48" i="3"/>
  <c r="E50" i="3"/>
  <c r="E52" i="3"/>
  <c r="E54" i="3"/>
  <c r="E56" i="3"/>
  <c r="E58" i="3"/>
  <c r="E60" i="3"/>
  <c r="E62" i="3"/>
  <c r="E64" i="3"/>
  <c r="E66" i="3"/>
  <c r="E68" i="3"/>
  <c r="E70" i="3"/>
  <c r="E72" i="3"/>
  <c r="E74" i="3"/>
  <c r="E76" i="3"/>
  <c r="E78" i="3"/>
  <c r="E80" i="3"/>
  <c r="E82" i="3"/>
  <c r="E84" i="3"/>
  <c r="E86" i="3"/>
  <c r="E88" i="3"/>
  <c r="E90" i="3"/>
  <c r="E92" i="3"/>
  <c r="E94" i="3"/>
  <c r="E96" i="3"/>
  <c r="R97" i="3"/>
  <c r="Q97" i="3"/>
  <c r="Q46" i="3"/>
  <c r="Q47" i="3"/>
  <c r="Q48" i="3"/>
  <c r="Q49" i="3"/>
  <c r="Q50" i="3"/>
  <c r="Q51" i="3"/>
  <c r="Q52" i="3"/>
  <c r="Q53" i="3"/>
  <c r="Q54" i="3"/>
  <c r="Q55" i="3"/>
  <c r="Q56" i="3"/>
  <c r="Q57" i="3"/>
  <c r="Q58" i="3"/>
  <c r="Q59" i="3"/>
  <c r="Q60" i="3"/>
  <c r="Q61" i="3"/>
  <c r="Q62" i="3"/>
  <c r="Q63" i="3"/>
  <c r="Q64" i="3"/>
  <c r="Q65" i="3"/>
  <c r="Q66" i="3"/>
  <c r="Q67" i="3"/>
  <c r="Q68" i="3"/>
  <c r="Q69" i="3"/>
  <c r="Q70" i="3"/>
  <c r="Q71" i="3"/>
  <c r="Q72" i="3"/>
  <c r="Q73" i="3"/>
  <c r="Q74" i="3"/>
  <c r="Q75" i="3"/>
  <c r="Q76" i="3"/>
  <c r="Q77" i="3"/>
  <c r="Q78" i="3"/>
  <c r="Q79" i="3"/>
  <c r="Q80" i="3"/>
  <c r="Q81" i="3"/>
  <c r="Q82" i="3"/>
  <c r="Q83" i="3"/>
  <c r="Q84" i="3"/>
  <c r="Q85" i="3"/>
  <c r="Q86" i="3"/>
  <c r="Q87" i="3"/>
  <c r="Q88" i="3"/>
  <c r="Q89" i="3"/>
  <c r="Q90" i="3"/>
  <c r="Q91" i="3"/>
  <c r="Q92" i="3"/>
  <c r="Q93" i="3"/>
  <c r="Q94" i="3"/>
  <c r="Q95" i="3"/>
  <c r="Q96" i="3"/>
  <c r="D45" i="3"/>
  <c r="U44" i="3"/>
  <c r="D44" i="3"/>
  <c r="U43" i="3"/>
  <c r="D43" i="3"/>
  <c r="U42" i="3"/>
  <c r="D42" i="3"/>
  <c r="U41" i="3"/>
  <c r="D41" i="3"/>
  <c r="U40" i="3"/>
  <c r="D40" i="3"/>
  <c r="U39" i="3"/>
  <c r="D39" i="3"/>
  <c r="U38" i="3"/>
  <c r="D38" i="3"/>
  <c r="U37" i="3"/>
  <c r="D37" i="3"/>
  <c r="U36" i="3"/>
  <c r="D36" i="3"/>
  <c r="U35" i="3"/>
  <c r="D35" i="3"/>
  <c r="U34" i="3"/>
  <c r="E36" i="3" l="1"/>
  <c r="E38" i="3"/>
  <c r="E40" i="3"/>
  <c r="E42" i="3"/>
  <c r="E35" i="3"/>
  <c r="E37" i="3"/>
  <c r="E39" i="3"/>
  <c r="E41" i="3"/>
  <c r="E43" i="3"/>
  <c r="E44" i="3"/>
  <c r="E45" i="3"/>
  <c r="R35" i="3"/>
  <c r="R36" i="3"/>
  <c r="R37" i="3"/>
  <c r="R38" i="3"/>
  <c r="R39" i="3"/>
  <c r="R40" i="3"/>
  <c r="R41" i="3"/>
  <c r="R42" i="3"/>
  <c r="R43" i="3"/>
  <c r="R44" i="3"/>
  <c r="Q45" i="3"/>
  <c r="R45" i="3"/>
  <c r="Q35" i="3"/>
  <c r="Q36" i="3"/>
  <c r="Q37" i="3"/>
  <c r="Q38" i="3"/>
  <c r="Q39" i="3"/>
  <c r="Q40" i="3"/>
  <c r="Q41" i="3"/>
  <c r="Q42" i="3"/>
  <c r="Q43" i="3"/>
  <c r="Q44" i="3"/>
  <c r="D34" i="3"/>
  <c r="U33" i="3"/>
  <c r="D33" i="3"/>
  <c r="U32" i="3"/>
  <c r="D32" i="3"/>
  <c r="U31" i="3"/>
  <c r="D31" i="3"/>
  <c r="U30" i="3"/>
  <c r="D30" i="3"/>
  <c r="U29" i="3"/>
  <c r="D29" i="3"/>
  <c r="U28" i="3"/>
  <c r="D28" i="3"/>
  <c r="U27" i="3"/>
  <c r="D27" i="3"/>
  <c r="U26" i="3"/>
  <c r="D26" i="3"/>
  <c r="U25" i="3"/>
  <c r="D25" i="3"/>
  <c r="U24" i="3"/>
  <c r="D24" i="3"/>
  <c r="U23" i="3"/>
  <c r="D23" i="3"/>
  <c r="U22" i="3"/>
  <c r="D22" i="3"/>
  <c r="U21" i="3"/>
  <c r="D21" i="3"/>
  <c r="U20" i="3"/>
  <c r="D20" i="3"/>
  <c r="U19" i="3"/>
  <c r="D19" i="3"/>
  <c r="U18" i="3"/>
  <c r="D18" i="3"/>
  <c r="U17" i="3"/>
  <c r="D17" i="3"/>
  <c r="U16" i="3"/>
  <c r="D16" i="3"/>
  <c r="U15" i="3"/>
  <c r="D15" i="3"/>
  <c r="U14" i="3"/>
  <c r="D14" i="3"/>
  <c r="U13" i="3"/>
  <c r="D13" i="3"/>
  <c r="U12" i="3"/>
  <c r="D12" i="3"/>
  <c r="U11" i="3"/>
  <c r="D11" i="3"/>
  <c r="U10" i="3"/>
  <c r="D10" i="3"/>
  <c r="U9" i="3"/>
  <c r="D9" i="3"/>
  <c r="R9" i="3" l="1"/>
  <c r="G6" i="3"/>
  <c r="R12" i="3"/>
  <c r="R15" i="3"/>
  <c r="R11" i="3"/>
  <c r="R13" i="3"/>
  <c r="R14" i="3"/>
  <c r="R16" i="3"/>
  <c r="R17" i="3"/>
  <c r="R18" i="3"/>
  <c r="R19" i="3"/>
  <c r="R20" i="3"/>
  <c r="R21" i="3"/>
  <c r="R22" i="3"/>
  <c r="R23" i="3"/>
  <c r="R24" i="3"/>
  <c r="R25" i="3"/>
  <c r="R26" i="3"/>
  <c r="R27" i="3"/>
  <c r="R28" i="3"/>
  <c r="R29" i="3"/>
  <c r="R30" i="3"/>
  <c r="R31" i="3"/>
  <c r="R32" i="3"/>
  <c r="R33" i="3"/>
  <c r="E34" i="3"/>
  <c r="E9" i="3"/>
  <c r="E11" i="3"/>
  <c r="E12" i="3"/>
  <c r="E13" i="3"/>
  <c r="E14" i="3"/>
  <c r="E15" i="3"/>
  <c r="E16" i="3"/>
  <c r="E17" i="3"/>
  <c r="E18" i="3"/>
  <c r="E19" i="3"/>
  <c r="E20" i="3"/>
  <c r="E21" i="3"/>
  <c r="E22" i="3"/>
  <c r="E23" i="3"/>
  <c r="E24" i="3"/>
  <c r="E25" i="3"/>
  <c r="E26" i="3"/>
  <c r="E27" i="3"/>
  <c r="E28" i="3"/>
  <c r="E29" i="3"/>
  <c r="E30" i="3"/>
  <c r="E31" i="3"/>
  <c r="E32" i="3"/>
  <c r="E33" i="3"/>
  <c r="Q9" i="3"/>
  <c r="Q34" i="3"/>
  <c r="R34" i="3"/>
  <c r="R10" i="3"/>
  <c r="E10" i="3"/>
  <c r="Q10" i="3"/>
  <c r="Q11" i="3"/>
  <c r="Q12" i="3"/>
  <c r="Q13" i="3"/>
  <c r="Q14" i="3"/>
  <c r="Q15" i="3"/>
  <c r="Q16" i="3"/>
  <c r="Q17" i="3"/>
  <c r="Q18" i="3"/>
  <c r="Q19" i="3"/>
  <c r="Q20" i="3"/>
  <c r="Q21" i="3"/>
  <c r="Q22" i="3"/>
  <c r="Q23" i="3"/>
  <c r="Q24" i="3"/>
  <c r="Q25" i="3"/>
  <c r="Q26" i="3"/>
  <c r="Q27" i="3"/>
  <c r="Q28" i="3"/>
  <c r="Q29" i="3"/>
  <c r="Q30" i="3"/>
  <c r="Q31" i="3"/>
  <c r="Q32" i="3"/>
  <c r="Q33" i="3"/>
  <c r="X6" i="3"/>
  <c r="R3" i="3" l="1"/>
  <c r="F6" i="3"/>
  <c r="O2" i="9" l="1"/>
  <c r="E6" i="3"/>
  <c r="D6" i="3"/>
  <c r="D20" i="17" l="1"/>
  <c r="E2" i="9"/>
  <c r="A6" i="3"/>
  <c r="J2" i="3"/>
  <c r="J9" i="8"/>
  <c r="F117" i="3"/>
  <c r="F126" i="3"/>
  <c r="F103" i="3"/>
  <c r="F34" i="3"/>
  <c r="F77" i="3"/>
  <c r="F107" i="3"/>
  <c r="F62" i="3"/>
  <c r="F87" i="3"/>
  <c r="F83" i="3"/>
  <c r="F98" i="3"/>
  <c r="F110" i="3"/>
  <c r="F90" i="3"/>
  <c r="F73" i="3"/>
  <c r="F25" i="3"/>
  <c r="F102" i="3"/>
  <c r="F40" i="3"/>
  <c r="F128" i="3"/>
  <c r="F124" i="3"/>
  <c r="F91" i="3"/>
  <c r="F17" i="3"/>
  <c r="F59" i="3"/>
  <c r="F105" i="3"/>
  <c r="F51" i="3"/>
  <c r="F122" i="3"/>
  <c r="F69" i="3"/>
  <c r="F31" i="3"/>
  <c r="F108" i="3"/>
  <c r="F66" i="3"/>
  <c r="F101" i="3"/>
  <c r="F109" i="3"/>
  <c r="F132" i="3"/>
  <c r="F97" i="3"/>
  <c r="F89" i="3"/>
  <c r="F118" i="3"/>
  <c r="F93" i="3"/>
  <c r="F55" i="3"/>
  <c r="F12" i="3"/>
  <c r="F82" i="3"/>
  <c r="F125" i="3"/>
  <c r="F127" i="3"/>
  <c r="F65" i="3"/>
  <c r="F37" i="3"/>
  <c r="F35" i="3"/>
  <c r="F44" i="3"/>
  <c r="B6" i="3"/>
  <c r="F39" i="3"/>
  <c r="F22" i="3"/>
  <c r="F28" i="3"/>
  <c r="F18" i="3"/>
  <c r="F130" i="3"/>
  <c r="F33" i="3"/>
  <c r="F50" i="3"/>
  <c r="F85" i="3"/>
  <c r="F106" i="3"/>
  <c r="F74" i="3"/>
  <c r="F57" i="3"/>
  <c r="F120" i="3"/>
  <c r="F11" i="3"/>
  <c r="F61" i="3"/>
  <c r="F75" i="3"/>
  <c r="F96" i="3"/>
  <c r="F36" i="3"/>
  <c r="F52" i="3"/>
  <c r="F67" i="3"/>
  <c r="F49" i="3"/>
  <c r="F13" i="3"/>
  <c r="F99" i="3"/>
  <c r="F119" i="3"/>
  <c r="F21" i="3"/>
  <c r="F116" i="3"/>
  <c r="F63" i="3"/>
  <c r="F113" i="3"/>
  <c r="F115" i="3"/>
  <c r="F78" i="3"/>
  <c r="F88" i="3"/>
  <c r="F47" i="3"/>
  <c r="F19" i="3"/>
  <c r="F76" i="3"/>
  <c r="F15" i="3"/>
  <c r="F71" i="3"/>
  <c r="F23" i="3"/>
  <c r="F42" i="3"/>
  <c r="F112" i="3"/>
  <c r="F60" i="3"/>
  <c r="F29" i="3"/>
  <c r="F121" i="3"/>
  <c r="F133" i="3"/>
  <c r="F68" i="3"/>
  <c r="F129" i="3"/>
  <c r="F111" i="3"/>
  <c r="F27" i="3"/>
  <c r="F100" i="3"/>
  <c r="F41" i="3"/>
  <c r="F95" i="3"/>
  <c r="F53" i="3"/>
  <c r="F58" i="3"/>
  <c r="F30" i="3"/>
  <c r="F43" i="3"/>
  <c r="F70" i="3"/>
  <c r="F16" i="3"/>
  <c r="F104" i="3"/>
  <c r="F92" i="3"/>
  <c r="F46" i="3"/>
  <c r="F81" i="3"/>
  <c r="F79" i="3"/>
  <c r="F24" i="3"/>
  <c r="F72" i="3"/>
  <c r="F20" i="3"/>
  <c r="F131" i="3"/>
  <c r="F14" i="3"/>
  <c r="F64" i="3"/>
  <c r="F86" i="3"/>
  <c r="F9" i="3"/>
  <c r="F45" i="3"/>
  <c r="F54" i="3"/>
  <c r="F48" i="3"/>
  <c r="F56" i="3"/>
  <c r="F123" i="3"/>
  <c r="F80" i="3"/>
  <c r="F26" i="3"/>
  <c r="F32" i="3"/>
  <c r="F38" i="3"/>
  <c r="F84" i="3"/>
  <c r="F114" i="3"/>
  <c r="F10" i="3"/>
  <c r="F94" i="3"/>
  <c r="M2" i="9" l="1"/>
  <c r="C6" i="3"/>
  <c r="N2" i="9" s="1"/>
  <c r="I13" i="3"/>
  <c r="I9" i="3"/>
  <c r="I11" i="3"/>
  <c r="I12" i="3"/>
  <c r="I16" i="3"/>
  <c r="I18" i="3"/>
  <c r="I19" i="3"/>
  <c r="I20" i="3"/>
  <c r="I21" i="3"/>
  <c r="I22" i="3"/>
  <c r="I23" i="3"/>
  <c r="I24" i="3"/>
  <c r="I25" i="3"/>
  <c r="I26" i="3"/>
  <c r="I27" i="3"/>
  <c r="I28" i="3"/>
  <c r="I29" i="3"/>
  <c r="I30" i="3"/>
  <c r="I31" i="3"/>
  <c r="I32" i="3"/>
  <c r="I33" i="3"/>
  <c r="I34" i="3"/>
  <c r="I39" i="3"/>
  <c r="I40" i="3"/>
  <c r="I41" i="3"/>
  <c r="I42" i="3"/>
  <c r="I43" i="3"/>
  <c r="I44" i="3"/>
  <c r="I45" i="3"/>
  <c r="I35" i="3"/>
  <c r="I36" i="3"/>
  <c r="I37" i="3"/>
  <c r="I38" i="3"/>
  <c r="I50" i="3"/>
  <c r="I51" i="3"/>
  <c r="I52" i="3"/>
  <c r="I53" i="3"/>
  <c r="I54" i="3"/>
  <c r="I55" i="3"/>
  <c r="I57" i="3"/>
  <c r="I46" i="3"/>
  <c r="I47" i="3"/>
  <c r="I48" i="3"/>
  <c r="I49" i="3"/>
  <c r="I56"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1" i="3"/>
  <c r="I102" i="3"/>
  <c r="I105" i="3"/>
  <c r="I106" i="3"/>
  <c r="I100" i="3"/>
  <c r="I103" i="3"/>
  <c r="I104" i="3"/>
  <c r="I108" i="3"/>
  <c r="I110" i="3"/>
  <c r="I111" i="3"/>
  <c r="I112" i="3"/>
  <c r="I115" i="3"/>
  <c r="I117" i="3"/>
  <c r="I118" i="3"/>
  <c r="I119" i="3"/>
  <c r="I120" i="3"/>
  <c r="I121" i="3"/>
  <c r="I122" i="3"/>
  <c r="I123" i="3"/>
  <c r="I124" i="3"/>
  <c r="I125" i="3"/>
  <c r="I126" i="3"/>
  <c r="I127" i="3"/>
  <c r="I128" i="3"/>
  <c r="I129" i="3"/>
  <c r="I107" i="3"/>
  <c r="I109" i="3"/>
  <c r="I113" i="3"/>
  <c r="I114" i="3"/>
  <c r="I116" i="3"/>
  <c r="I14" i="3"/>
  <c r="I15" i="3"/>
  <c r="I17" i="3"/>
  <c r="I10" i="3"/>
  <c r="H9" i="8"/>
  <c r="G62" i="3"/>
  <c r="G71" i="3"/>
  <c r="G15" i="3"/>
  <c r="G56" i="3"/>
  <c r="G43" i="3"/>
  <c r="G34" i="3"/>
  <c r="G111" i="3"/>
  <c r="G110" i="3"/>
  <c r="G107" i="3"/>
  <c r="G52" i="3"/>
  <c r="G65" i="3"/>
  <c r="G27" i="3"/>
  <c r="G26" i="3"/>
  <c r="G73" i="3"/>
  <c r="G74" i="3"/>
  <c r="G98" i="3"/>
  <c r="G64" i="3"/>
  <c r="G55" i="3"/>
  <c r="G132" i="3"/>
  <c r="G22" i="3"/>
  <c r="G32" i="3"/>
  <c r="G95" i="3"/>
  <c r="G17" i="3"/>
  <c r="G78" i="3"/>
  <c r="G30" i="3"/>
  <c r="G102" i="3"/>
  <c r="G109" i="3"/>
  <c r="G123" i="3"/>
  <c r="G44" i="3"/>
  <c r="G13" i="3"/>
  <c r="G80" i="3"/>
  <c r="G75" i="3"/>
  <c r="G16" i="3"/>
  <c r="G124" i="3"/>
  <c r="G29" i="3"/>
  <c r="G87" i="3"/>
  <c r="G66" i="3"/>
  <c r="G58" i="3"/>
  <c r="G35" i="3"/>
  <c r="G115" i="3"/>
  <c r="G92" i="3"/>
  <c r="G118" i="3"/>
  <c r="G90" i="3"/>
  <c r="G113" i="3"/>
  <c r="G54" i="3"/>
  <c r="G59" i="3"/>
  <c r="G97" i="3"/>
  <c r="G125" i="3"/>
  <c r="G108" i="3"/>
  <c r="G42" i="3"/>
  <c r="G106" i="3"/>
  <c r="G37" i="3"/>
  <c r="G133" i="3"/>
  <c r="G81" i="3"/>
  <c r="G112" i="3"/>
  <c r="G18" i="3"/>
  <c r="G49" i="3"/>
  <c r="G69" i="3"/>
  <c r="G105" i="3"/>
  <c r="G101" i="3"/>
  <c r="G96" i="3"/>
  <c r="G117" i="3"/>
  <c r="G68" i="3"/>
  <c r="G82" i="3"/>
  <c r="G128" i="3"/>
  <c r="G47" i="3"/>
  <c r="G51" i="3"/>
  <c r="G25" i="3"/>
  <c r="G127" i="3"/>
  <c r="G114" i="3"/>
  <c r="G86" i="3"/>
  <c r="G83" i="3"/>
  <c r="G116" i="3"/>
  <c r="G63" i="3"/>
  <c r="G91" i="3"/>
  <c r="G126" i="3"/>
  <c r="G70" i="3"/>
  <c r="G120" i="3"/>
  <c r="G93" i="3"/>
  <c r="G41" i="3"/>
  <c r="G79" i="3"/>
  <c r="G24" i="3"/>
  <c r="G19" i="3"/>
  <c r="G14" i="3"/>
  <c r="G67" i="3"/>
  <c r="G31" i="3"/>
  <c r="G38" i="3"/>
  <c r="G53" i="3"/>
  <c r="G77" i="3"/>
  <c r="G39" i="3"/>
  <c r="G12" i="3"/>
  <c r="G50" i="3"/>
  <c r="G20" i="3"/>
  <c r="G84" i="3"/>
  <c r="G131" i="3"/>
  <c r="G122" i="3"/>
  <c r="G89" i="3"/>
  <c r="G9" i="3"/>
  <c r="G72" i="3"/>
  <c r="G99" i="3"/>
  <c r="G104" i="3"/>
  <c r="G121" i="3"/>
  <c r="G61" i="3"/>
  <c r="G60" i="3"/>
  <c r="G100" i="3"/>
  <c r="G119" i="3"/>
  <c r="G28" i="3"/>
  <c r="G103" i="3"/>
  <c r="G11" i="3"/>
  <c r="G10" i="3"/>
  <c r="G94" i="3"/>
  <c r="G57" i="3"/>
  <c r="G46" i="3"/>
  <c r="G76" i="3"/>
  <c r="G23" i="3"/>
  <c r="G33" i="3"/>
  <c r="G45" i="3"/>
  <c r="G130" i="3"/>
  <c r="G40" i="3"/>
  <c r="G88" i="3"/>
  <c r="G21" i="3"/>
  <c r="G129" i="3"/>
  <c r="G48" i="3"/>
  <c r="G36" i="3"/>
  <c r="G85" i="3"/>
  <c r="D67" i="15" l="1"/>
  <c r="D7" i="15"/>
  <c r="D48" i="15"/>
  <c r="D65" i="15"/>
  <c r="D117" i="15"/>
  <c r="D80" i="15"/>
  <c r="D45" i="15"/>
  <c r="D102" i="15"/>
  <c r="D6" i="15"/>
  <c r="D81" i="15"/>
  <c r="D12" i="15"/>
  <c r="D94" i="15"/>
  <c r="D5" i="15"/>
  <c r="D72" i="15"/>
  <c r="D63" i="15"/>
  <c r="D98" i="15"/>
  <c r="D73" i="15"/>
  <c r="D9" i="15"/>
  <c r="D119" i="15"/>
  <c r="D35" i="15"/>
  <c r="D39" i="15"/>
  <c r="D85" i="15"/>
  <c r="D124" i="15"/>
  <c r="D123" i="15"/>
  <c r="D24" i="15"/>
  <c r="D59" i="15"/>
  <c r="D108" i="15"/>
  <c r="D25" i="15"/>
  <c r="D41" i="15"/>
  <c r="D22" i="15"/>
  <c r="D57" i="15"/>
  <c r="D61" i="15"/>
  <c r="D36" i="15"/>
  <c r="D77" i="15"/>
  <c r="D10" i="15"/>
  <c r="D15" i="15"/>
  <c r="D38" i="15"/>
  <c r="D115" i="15"/>
  <c r="D79" i="15"/>
  <c r="D43" i="15"/>
  <c r="D34" i="15"/>
  <c r="D28" i="15"/>
  <c r="D91" i="15"/>
  <c r="D44" i="15"/>
  <c r="D54" i="15"/>
  <c r="D110" i="15"/>
  <c r="D84" i="15"/>
  <c r="D103" i="15"/>
  <c r="D90" i="15"/>
  <c r="D3" i="15"/>
  <c r="D75" i="15"/>
  <c r="D92" i="15"/>
  <c r="D23" i="15"/>
  <c r="D69" i="15"/>
  <c r="D104" i="15"/>
  <c r="D107" i="15"/>
  <c r="D74" i="15"/>
  <c r="D113" i="15"/>
  <c r="D17" i="15"/>
  <c r="D40" i="15"/>
  <c r="D93" i="15"/>
  <c r="D50" i="15"/>
  <c r="D21" i="15"/>
  <c r="D27" i="15"/>
  <c r="D71" i="15"/>
  <c r="D86" i="15"/>
  <c r="D4" i="15"/>
  <c r="D49" i="15"/>
  <c r="D42" i="15"/>
  <c r="D66" i="15"/>
  <c r="D64" i="15"/>
  <c r="D83" i="15"/>
  <c r="D2" i="15"/>
  <c r="D106" i="15"/>
  <c r="D51" i="15"/>
  <c r="D33" i="15"/>
  <c r="D122" i="15"/>
  <c r="D105" i="15"/>
  <c r="D125" i="15"/>
  <c r="D109" i="15"/>
  <c r="D60" i="15"/>
  <c r="D11" i="15"/>
  <c r="D14" i="15"/>
  <c r="D29" i="15"/>
  <c r="D18" i="15"/>
  <c r="D26" i="15"/>
  <c r="D13" i="15"/>
  <c r="D111" i="15"/>
  <c r="D96" i="15"/>
  <c r="D37" i="15"/>
  <c r="D46" i="15"/>
  <c r="D62" i="15"/>
  <c r="D116" i="15"/>
  <c r="D82" i="15"/>
  <c r="D76" i="15"/>
  <c r="D120" i="15"/>
  <c r="D19" i="15"/>
  <c r="D56" i="15"/>
  <c r="D126" i="15"/>
  <c r="D70" i="15"/>
  <c r="D53" i="15"/>
  <c r="D88" i="15"/>
  <c r="D89" i="15"/>
  <c r="D58" i="15"/>
  <c r="D114" i="15"/>
  <c r="D99" i="15"/>
  <c r="D87" i="15"/>
  <c r="D16" i="15"/>
  <c r="D32" i="15"/>
  <c r="D20" i="15"/>
  <c r="D78" i="15"/>
  <c r="D55" i="15"/>
  <c r="D112" i="15"/>
  <c r="D8" i="15"/>
  <c r="D95" i="15"/>
  <c r="D68" i="15"/>
  <c r="D31" i="15"/>
  <c r="D97" i="15"/>
  <c r="D121" i="15"/>
  <c r="D118" i="15"/>
  <c r="D101" i="15"/>
  <c r="D47" i="15"/>
  <c r="D30" i="15"/>
  <c r="D100" i="15"/>
  <c r="D52" i="15"/>
  <c r="J12" i="3"/>
  <c r="J15" i="3"/>
  <c r="J31" i="3"/>
  <c r="J26" i="3"/>
  <c r="J17" i="3"/>
  <c r="J33" i="3"/>
  <c r="J28" i="3"/>
  <c r="J36" i="3"/>
  <c r="J41" i="3"/>
  <c r="J42" i="3"/>
  <c r="J93" i="3"/>
  <c r="J50" i="3"/>
  <c r="J82" i="3"/>
  <c r="J69" i="3"/>
  <c r="J95" i="3"/>
  <c r="J71" i="3"/>
  <c r="J52" i="3"/>
  <c r="J68" i="3"/>
  <c r="J84" i="3"/>
  <c r="J55" i="3"/>
  <c r="J61" i="3"/>
  <c r="J62" i="3"/>
  <c r="J94" i="3"/>
  <c r="J103" i="3"/>
  <c r="J105" i="3"/>
  <c r="J128" i="3"/>
  <c r="J121" i="3"/>
  <c r="J114" i="3"/>
  <c r="J116" i="3"/>
  <c r="J115" i="3"/>
  <c r="J131" i="3"/>
  <c r="J132" i="3"/>
  <c r="J11" i="3"/>
  <c r="J27" i="3"/>
  <c r="J22" i="3"/>
  <c r="J20" i="3"/>
  <c r="J29" i="3"/>
  <c r="J24" i="3"/>
  <c r="J39" i="3"/>
  <c r="J45" i="3"/>
  <c r="J38" i="3"/>
  <c r="J81" i="3"/>
  <c r="J83" i="3"/>
  <c r="J74" i="3"/>
  <c r="J59" i="3"/>
  <c r="J91" i="3"/>
  <c r="J63" i="3"/>
  <c r="J48" i="3"/>
  <c r="J64" i="3"/>
  <c r="J80" i="3"/>
  <c r="J96" i="3"/>
  <c r="J97" i="3"/>
  <c r="J54" i="3"/>
  <c r="J86" i="3"/>
  <c r="J104" i="3"/>
  <c r="J101" i="3"/>
  <c r="J120" i="3"/>
  <c r="J117" i="3"/>
  <c r="J133" i="3"/>
  <c r="J108" i="3"/>
  <c r="J111" i="3"/>
  <c r="J127" i="3"/>
  <c r="J126" i="3"/>
  <c r="J16" i="3"/>
  <c r="J23" i="3"/>
  <c r="K6" i="3"/>
  <c r="J14" i="3"/>
  <c r="J34" i="3"/>
  <c r="J25" i="3"/>
  <c r="J18" i="3"/>
  <c r="J35" i="3"/>
  <c r="J44" i="3"/>
  <c r="J43" i="3"/>
  <c r="J65" i="3"/>
  <c r="J67" i="3"/>
  <c r="J66" i="3"/>
  <c r="J51" i="3"/>
  <c r="J85" i="3"/>
  <c r="J57" i="3"/>
  <c r="J87" i="3"/>
  <c r="J60" i="3"/>
  <c r="J76" i="3"/>
  <c r="J92" i="3"/>
  <c r="J89" i="3"/>
  <c r="J46" i="3"/>
  <c r="J78" i="3"/>
  <c r="J99" i="3"/>
  <c r="J106" i="3"/>
  <c r="J112" i="3"/>
  <c r="J113" i="3"/>
  <c r="J129" i="3"/>
  <c r="J130" i="3"/>
  <c r="J107" i="3"/>
  <c r="J123" i="3"/>
  <c r="J118" i="3"/>
  <c r="J13" i="3"/>
  <c r="J19" i="3"/>
  <c r="J10" i="3"/>
  <c r="J30" i="3"/>
  <c r="J21" i="3"/>
  <c r="J9" i="3"/>
  <c r="H6" i="3"/>
  <c r="J32" i="3"/>
  <c r="J40" i="3"/>
  <c r="J37" i="3"/>
  <c r="J47" i="3"/>
  <c r="J53" i="3"/>
  <c r="J58" i="3"/>
  <c r="J90" i="3"/>
  <c r="J77" i="3"/>
  <c r="J49" i="3"/>
  <c r="J79" i="3"/>
  <c r="J56" i="3"/>
  <c r="J72" i="3"/>
  <c r="J88" i="3"/>
  <c r="J73" i="3"/>
  <c r="J75" i="3"/>
  <c r="J70" i="3"/>
  <c r="J98" i="3"/>
  <c r="J100" i="3"/>
  <c r="J102" i="3"/>
  <c r="J109" i="3"/>
  <c r="J125" i="3"/>
  <c r="J122" i="3"/>
  <c r="J124" i="3"/>
  <c r="J119" i="3"/>
  <c r="J110" i="3"/>
  <c r="R2" i="3" l="1"/>
  <c r="K94" i="3"/>
  <c r="I131" i="3"/>
  <c r="I130" i="3"/>
  <c r="I132" i="3"/>
  <c r="I133" i="3"/>
  <c r="K71" i="3"/>
  <c r="K72" i="3"/>
  <c r="K83" i="3"/>
  <c r="K115" i="3"/>
  <c r="K43" i="3"/>
  <c r="K60" i="3"/>
  <c r="K22" i="3"/>
  <c r="K15" i="3"/>
  <c r="K78" i="3"/>
  <c r="K79" i="3"/>
  <c r="K68" i="3"/>
  <c r="K80" i="3"/>
  <c r="K67" i="3"/>
  <c r="K118" i="3"/>
  <c r="K103" i="3"/>
  <c r="K70" i="3"/>
  <c r="K28" i="3"/>
  <c r="K16" i="3"/>
  <c r="K128" i="3"/>
  <c r="K111" i="3"/>
  <c r="K126" i="3"/>
  <c r="K127" i="3"/>
  <c r="K102" i="3"/>
  <c r="K99" i="3"/>
  <c r="K76" i="3"/>
  <c r="K89" i="3"/>
  <c r="K57" i="3"/>
  <c r="K51" i="3"/>
  <c r="K92" i="3"/>
  <c r="K39" i="3"/>
  <c r="K34" i="3"/>
  <c r="K11" i="3"/>
  <c r="K21" i="3"/>
  <c r="K129" i="3"/>
  <c r="K93" i="3"/>
  <c r="K62" i="3"/>
  <c r="K48" i="3"/>
  <c r="K114" i="3"/>
  <c r="K36" i="3"/>
  <c r="K58" i="3"/>
  <c r="K119" i="3"/>
  <c r="K27" i="3"/>
  <c r="K112" i="3"/>
  <c r="K96" i="3"/>
  <c r="K55" i="3"/>
  <c r="K30" i="3"/>
  <c r="K52" i="3"/>
  <c r="K23" i="3"/>
  <c r="K121" i="3"/>
  <c r="K85" i="3"/>
  <c r="K40" i="3"/>
  <c r="K77" i="3"/>
  <c r="K86" i="3"/>
  <c r="K104" i="3"/>
  <c r="K122" i="3"/>
  <c r="K32" i="3"/>
  <c r="K87" i="3"/>
  <c r="K53" i="3"/>
  <c r="K101" i="3"/>
  <c r="K47" i="3"/>
  <c r="K44" i="3"/>
  <c r="K37" i="3"/>
  <c r="K113" i="3"/>
  <c r="K106" i="3"/>
  <c r="K98" i="3"/>
  <c r="K66" i="3"/>
  <c r="K64" i="3"/>
  <c r="K61" i="3"/>
  <c r="K31" i="3"/>
  <c r="K24" i="3"/>
  <c r="K12" i="3"/>
  <c r="K116" i="3"/>
  <c r="K123" i="3"/>
  <c r="K107" i="3"/>
  <c r="K63" i="3"/>
  <c r="K54" i="3"/>
  <c r="K97" i="3"/>
  <c r="K81" i="3"/>
  <c r="K42" i="3"/>
  <c r="K29" i="3"/>
  <c r="K17" i="3"/>
  <c r="K14" i="3"/>
  <c r="K108" i="3"/>
  <c r="K56" i="3"/>
  <c r="K50" i="3"/>
  <c r="K75" i="3"/>
  <c r="K91" i="3"/>
  <c r="K100" i="3"/>
  <c r="K105" i="3"/>
  <c r="K125" i="3"/>
  <c r="K130" i="3"/>
  <c r="K19" i="3"/>
  <c r="K117" i="3"/>
  <c r="K90" i="3"/>
  <c r="K45" i="3"/>
  <c r="K124" i="3"/>
  <c r="K131" i="3"/>
  <c r="K110" i="3"/>
  <c r="K88" i="3"/>
  <c r="K35" i="3"/>
  <c r="K49" i="3"/>
  <c r="K73" i="3"/>
  <c r="K82" i="3"/>
  <c r="K84" i="3"/>
  <c r="K120" i="3"/>
  <c r="K20" i="3"/>
  <c r="K109" i="3"/>
  <c r="K59" i="3"/>
  <c r="K74" i="3"/>
  <c r="K69" i="3"/>
  <c r="K25" i="3"/>
  <c r="K95" i="3"/>
  <c r="K41" i="3"/>
  <c r="K26" i="3"/>
  <c r="K33" i="3"/>
  <c r="K13" i="3"/>
  <c r="Q2" i="9"/>
  <c r="I6" i="3"/>
  <c r="J6" i="3"/>
  <c r="G9" i="8"/>
  <c r="F9" i="8" s="1"/>
  <c r="K65" i="3"/>
  <c r="K46" i="3"/>
  <c r="K18" i="3"/>
  <c r="K38" i="3"/>
  <c r="C9" i="8"/>
  <c r="B9" i="8"/>
  <c r="L65" i="3"/>
  <c r="L71" i="3"/>
  <c r="L105" i="3"/>
  <c r="L47" i="3"/>
  <c r="L46" i="3"/>
  <c r="L115" i="3"/>
  <c r="L24" i="3"/>
  <c r="L74" i="3"/>
  <c r="L72" i="3"/>
  <c r="L11" i="3"/>
  <c r="L90" i="3"/>
  <c r="L36" i="3"/>
  <c r="L43" i="3"/>
  <c r="L112" i="3"/>
  <c r="L111" i="3"/>
  <c r="L116" i="3"/>
  <c r="L49" i="3"/>
  <c r="L75" i="3"/>
  <c r="L68" i="3"/>
  <c r="L41" i="3"/>
  <c r="L84" i="3"/>
  <c r="L31" i="3"/>
  <c r="L19" i="3"/>
  <c r="L80" i="3"/>
  <c r="L45" i="3"/>
  <c r="L52" i="3"/>
  <c r="L34" i="3"/>
  <c r="L128" i="3"/>
  <c r="L42" i="3"/>
  <c r="L27" i="3"/>
  <c r="L54" i="3"/>
  <c r="L107" i="3"/>
  <c r="L32" i="3"/>
  <c r="L76" i="3"/>
  <c r="L78" i="3"/>
  <c r="L89" i="3"/>
  <c r="L96" i="3"/>
  <c r="L15" i="3"/>
  <c r="L64" i="3"/>
  <c r="L100" i="3"/>
  <c r="L60" i="3"/>
  <c r="L92" i="3"/>
  <c r="L108" i="3"/>
  <c r="L57" i="3"/>
  <c r="L22" i="3"/>
  <c r="L69" i="3"/>
  <c r="L20" i="3"/>
  <c r="L126" i="3"/>
  <c r="L66" i="3"/>
  <c r="L79" i="3"/>
  <c r="L113" i="3"/>
  <c r="L73" i="3"/>
  <c r="L131" i="3"/>
  <c r="L114" i="3"/>
  <c r="L37" i="3"/>
  <c r="L50" i="3"/>
  <c r="L87" i="3"/>
  <c r="L81" i="3"/>
  <c r="L53" i="3"/>
  <c r="L70" i="3"/>
  <c r="L18" i="3"/>
  <c r="L91" i="3"/>
  <c r="L121" i="3"/>
  <c r="L118" i="3"/>
  <c r="L14" i="3"/>
  <c r="L106" i="3"/>
  <c r="L63" i="3"/>
  <c r="L59" i="3"/>
  <c r="L97" i="3"/>
  <c r="L35" i="3"/>
  <c r="L67" i="3"/>
  <c r="L119" i="3"/>
  <c r="L110" i="3"/>
  <c r="L48" i="3"/>
  <c r="L88" i="3"/>
  <c r="L61" i="3"/>
  <c r="L109" i="3"/>
  <c r="L95" i="3"/>
  <c r="L44" i="3"/>
  <c r="L85" i="3"/>
  <c r="L130" i="3"/>
  <c r="L123" i="3"/>
  <c r="L129" i="3"/>
  <c r="L30" i="3"/>
  <c r="L125" i="3"/>
  <c r="L56" i="3"/>
  <c r="L83" i="3"/>
  <c r="L58" i="3"/>
  <c r="L26" i="3"/>
  <c r="L93" i="3"/>
  <c r="L38" i="3"/>
  <c r="L117" i="3"/>
  <c r="L12" i="3"/>
  <c r="L82" i="3"/>
  <c r="L23" i="3"/>
  <c r="L21" i="3"/>
  <c r="L127" i="3"/>
  <c r="L51" i="3"/>
  <c r="L104" i="3"/>
  <c r="L33" i="3"/>
  <c r="L94" i="3"/>
  <c r="L122" i="3"/>
  <c r="L16" i="3"/>
  <c r="L40" i="3"/>
  <c r="L62" i="3"/>
  <c r="L77" i="3"/>
  <c r="L55" i="3"/>
  <c r="L13" i="3"/>
  <c r="L103" i="3"/>
  <c r="L86" i="3"/>
  <c r="L99" i="3"/>
  <c r="L29" i="3"/>
  <c r="L28" i="3"/>
  <c r="L17" i="3"/>
  <c r="L25" i="3"/>
  <c r="L101" i="3"/>
  <c r="L120" i="3"/>
  <c r="L98" i="3"/>
  <c r="L124" i="3"/>
  <c r="L102" i="3"/>
  <c r="L39" i="3"/>
  <c r="O94" i="3" l="1"/>
  <c r="F87" i="15" s="1"/>
  <c r="E87" i="15"/>
  <c r="E7" i="15"/>
  <c r="E78" i="15"/>
  <c r="E32" i="15"/>
  <c r="E84" i="15"/>
  <c r="E60" i="15"/>
  <c r="E75" i="15"/>
  <c r="E99" i="15"/>
  <c r="E58" i="15"/>
  <c r="E103" i="15"/>
  <c r="E59" i="15"/>
  <c r="E41" i="15"/>
  <c r="E123" i="15"/>
  <c r="E51" i="15"/>
  <c r="E57" i="15"/>
  <c r="E121" i="15"/>
  <c r="E120" i="15"/>
  <c r="E29" i="15"/>
  <c r="E66" i="15"/>
  <c r="E35" i="15"/>
  <c r="E117" i="15"/>
  <c r="E10" i="15"/>
  <c r="E18" i="15"/>
  <c r="E36" i="15"/>
  <c r="E8" i="15"/>
  <c r="E94" i="15"/>
  <c r="E97" i="15"/>
  <c r="E89" i="15"/>
  <c r="E116" i="15"/>
  <c r="E56" i="15"/>
  <c r="E15" i="15"/>
  <c r="E72" i="15"/>
  <c r="E98" i="15"/>
  <c r="E114" i="15"/>
  <c r="E62" i="15"/>
  <c r="E70" i="15"/>
  <c r="E30" i="15"/>
  <c r="E69" i="15"/>
  <c r="E44" i="15"/>
  <c r="E49" i="15"/>
  <c r="E50" i="15"/>
  <c r="E48" i="15"/>
  <c r="E79" i="15"/>
  <c r="E63" i="15"/>
  <c r="E5" i="15"/>
  <c r="E9" i="15"/>
  <c r="E28" i="15"/>
  <c r="E14" i="15"/>
  <c r="E55" i="15"/>
  <c r="E108" i="15"/>
  <c r="E68" i="15"/>
  <c r="E24" i="15"/>
  <c r="E61" i="15"/>
  <c r="E17" i="15"/>
  <c r="E40" i="15"/>
  <c r="E93" i="15"/>
  <c r="E91" i="15"/>
  <c r="E85" i="15"/>
  <c r="E4" i="15"/>
  <c r="E115" i="15"/>
  <c r="E22" i="15"/>
  <c r="E13" i="15"/>
  <c r="E110" i="15"/>
  <c r="E106" i="15"/>
  <c r="E27" i="15"/>
  <c r="E122" i="15"/>
  <c r="E42" i="15"/>
  <c r="E107" i="15"/>
  <c r="E74" i="15"/>
  <c r="E118" i="15"/>
  <c r="E88" i="15"/>
  <c r="E100" i="15"/>
  <c r="E21" i="15"/>
  <c r="E104" i="15"/>
  <c r="E33" i="15"/>
  <c r="E25" i="15"/>
  <c r="E23" i="15"/>
  <c r="E90" i="15"/>
  <c r="E77" i="15"/>
  <c r="E124" i="15"/>
  <c r="E67" i="15"/>
  <c r="E96" i="15"/>
  <c r="E80" i="15"/>
  <c r="E20" i="15"/>
  <c r="E34" i="15"/>
  <c r="E109" i="15"/>
  <c r="E11" i="15"/>
  <c r="E111" i="15"/>
  <c r="E102" i="15"/>
  <c r="E47" i="15"/>
  <c r="E52" i="15"/>
  <c r="E101" i="15"/>
  <c r="E31" i="15"/>
  <c r="E19" i="15"/>
  <c r="E86" i="15"/>
  <c r="E76" i="15"/>
  <c r="E53" i="15"/>
  <c r="E16" i="15"/>
  <c r="E26" i="15"/>
  <c r="E113" i="15"/>
  <c r="E12" i="15"/>
  <c r="E39" i="15"/>
  <c r="E119" i="15"/>
  <c r="E92" i="15"/>
  <c r="E43" i="15"/>
  <c r="E105" i="15"/>
  <c r="E6" i="15"/>
  <c r="E37" i="15"/>
  <c r="E46" i="15"/>
  <c r="E95" i="15"/>
  <c r="E82" i="15"/>
  <c r="E81" i="15"/>
  <c r="E112" i="15"/>
  <c r="E38" i="15"/>
  <c r="E54" i="15"/>
  <c r="E45" i="15"/>
  <c r="E83" i="15"/>
  <c r="E71" i="15"/>
  <c r="E73" i="15"/>
  <c r="E65" i="15"/>
  <c r="E64" i="15"/>
  <c r="O71" i="3"/>
  <c r="F64" i="15" s="1"/>
  <c r="O72" i="3"/>
  <c r="F65" i="15" s="1"/>
  <c r="O93" i="3"/>
  <c r="F86" i="15" s="1"/>
  <c r="O21" i="3"/>
  <c r="F14" i="15" s="1"/>
  <c r="O34" i="3"/>
  <c r="F27" i="15" s="1"/>
  <c r="O92" i="3"/>
  <c r="F85" i="15" s="1"/>
  <c r="O57" i="3"/>
  <c r="F50" i="15" s="1"/>
  <c r="O76" i="3"/>
  <c r="F69" i="15" s="1"/>
  <c r="O102" i="3"/>
  <c r="F95" i="15" s="1"/>
  <c r="O126" i="3"/>
  <c r="F119" i="15" s="1"/>
  <c r="O128" i="3"/>
  <c r="F121" i="15" s="1"/>
  <c r="O28" i="3"/>
  <c r="F21" i="15" s="1"/>
  <c r="O103" i="3"/>
  <c r="F96" i="15" s="1"/>
  <c r="O67" i="3"/>
  <c r="F60" i="15" s="1"/>
  <c r="O68" i="3"/>
  <c r="F61" i="15" s="1"/>
  <c r="O78" i="3"/>
  <c r="F71" i="15" s="1"/>
  <c r="O22" i="3"/>
  <c r="F15" i="15" s="1"/>
  <c r="O43" i="3"/>
  <c r="F36" i="15" s="1"/>
  <c r="O83" i="3"/>
  <c r="F76" i="15" s="1"/>
  <c r="O62" i="3"/>
  <c r="F55" i="15" s="1"/>
  <c r="O129" i="3"/>
  <c r="F122" i="15" s="1"/>
  <c r="O11" i="3"/>
  <c r="F4" i="15" s="1"/>
  <c r="O39" i="3"/>
  <c r="F32" i="15" s="1"/>
  <c r="O51" i="3"/>
  <c r="F44" i="15" s="1"/>
  <c r="O89" i="3"/>
  <c r="F82" i="15" s="1"/>
  <c r="O99" i="3"/>
  <c r="F92" i="15" s="1"/>
  <c r="O127" i="3"/>
  <c r="F120" i="15" s="1"/>
  <c r="O111" i="3"/>
  <c r="F104" i="15" s="1"/>
  <c r="O16" i="3"/>
  <c r="F9" i="15" s="1"/>
  <c r="O70" i="3"/>
  <c r="F63" i="15" s="1"/>
  <c r="O118" i="3"/>
  <c r="F111" i="15" s="1"/>
  <c r="O80" i="3"/>
  <c r="F73" i="15" s="1"/>
  <c r="O79" i="3"/>
  <c r="F72" i="15" s="1"/>
  <c r="O15" i="3"/>
  <c r="F8" i="15" s="1"/>
  <c r="O60" i="3"/>
  <c r="F53" i="15" s="1"/>
  <c r="O115" i="3"/>
  <c r="F108" i="15" s="1"/>
  <c r="O48" i="3"/>
  <c r="F41" i="15" s="1"/>
  <c r="O114" i="3"/>
  <c r="F107" i="15" s="1"/>
  <c r="O36" i="3"/>
  <c r="F29" i="15" s="1"/>
  <c r="O58" i="3"/>
  <c r="F51" i="15" s="1"/>
  <c r="O119" i="3"/>
  <c r="F112" i="15" s="1"/>
  <c r="O27" i="3"/>
  <c r="F20" i="15" s="1"/>
  <c r="O112" i="3"/>
  <c r="F105" i="15" s="1"/>
  <c r="O96" i="3"/>
  <c r="F89" i="15" s="1"/>
  <c r="O87" i="3"/>
  <c r="F80" i="15" s="1"/>
  <c r="O122" i="3"/>
  <c r="F115" i="15" s="1"/>
  <c r="O86" i="3"/>
  <c r="F79" i="15" s="1"/>
  <c r="O40" i="3"/>
  <c r="F33" i="15" s="1"/>
  <c r="O121" i="3"/>
  <c r="F114" i="15" s="1"/>
  <c r="O52" i="3"/>
  <c r="F45" i="15" s="1"/>
  <c r="O55" i="3"/>
  <c r="F48" i="15" s="1"/>
  <c r="O53" i="3"/>
  <c r="F46" i="15" s="1"/>
  <c r="O32" i="3"/>
  <c r="F25" i="15" s="1"/>
  <c r="O104" i="3"/>
  <c r="F97" i="15" s="1"/>
  <c r="O77" i="3"/>
  <c r="F70" i="15" s="1"/>
  <c r="O85" i="3"/>
  <c r="F78" i="15" s="1"/>
  <c r="O23" i="3"/>
  <c r="F16" i="15" s="1"/>
  <c r="O30" i="3"/>
  <c r="F23" i="15" s="1"/>
  <c r="O88" i="3"/>
  <c r="F81" i="15" s="1"/>
  <c r="O131" i="3"/>
  <c r="F124" i="15" s="1"/>
  <c r="O45" i="3"/>
  <c r="F38" i="15" s="1"/>
  <c r="O117" i="3"/>
  <c r="F110" i="15" s="1"/>
  <c r="O130" i="3"/>
  <c r="F123" i="15" s="1"/>
  <c r="O105" i="3"/>
  <c r="F98" i="15" s="1"/>
  <c r="O91" i="3"/>
  <c r="F84" i="15" s="1"/>
  <c r="O50" i="3"/>
  <c r="F43" i="15" s="1"/>
  <c r="O108" i="3"/>
  <c r="F101" i="15" s="1"/>
  <c r="O17" i="3"/>
  <c r="F10" i="15" s="1"/>
  <c r="O42" i="3"/>
  <c r="F35" i="15" s="1"/>
  <c r="O97" i="3"/>
  <c r="F90" i="15" s="1"/>
  <c r="O63" i="3"/>
  <c r="F56" i="15" s="1"/>
  <c r="O123" i="3"/>
  <c r="F116" i="15" s="1"/>
  <c r="O12" i="3"/>
  <c r="F5" i="15" s="1"/>
  <c r="O31" i="3"/>
  <c r="F24" i="15" s="1"/>
  <c r="O64" i="3"/>
  <c r="F57" i="15" s="1"/>
  <c r="O98" i="3"/>
  <c r="F91" i="15" s="1"/>
  <c r="O113" i="3"/>
  <c r="F106" i="15" s="1"/>
  <c r="O44" i="3"/>
  <c r="F37" i="15" s="1"/>
  <c r="O101" i="3"/>
  <c r="F94" i="15" s="1"/>
  <c r="O110" i="3"/>
  <c r="F103" i="15" s="1"/>
  <c r="O124" i="3"/>
  <c r="F117" i="15" s="1"/>
  <c r="O90" i="3"/>
  <c r="F83" i="15" s="1"/>
  <c r="O19" i="3"/>
  <c r="F12" i="15" s="1"/>
  <c r="O125" i="3"/>
  <c r="F118" i="15" s="1"/>
  <c r="O100" i="3"/>
  <c r="F93" i="15" s="1"/>
  <c r="O75" i="3"/>
  <c r="F68" i="15" s="1"/>
  <c r="O56" i="3"/>
  <c r="F49" i="15" s="1"/>
  <c r="O14" i="3"/>
  <c r="F7" i="15" s="1"/>
  <c r="O29" i="3"/>
  <c r="F22" i="15" s="1"/>
  <c r="O81" i="3"/>
  <c r="F74" i="15" s="1"/>
  <c r="O54" i="3"/>
  <c r="F47" i="15" s="1"/>
  <c r="O107" i="3"/>
  <c r="F100" i="15" s="1"/>
  <c r="O116" i="3"/>
  <c r="F109" i="15" s="1"/>
  <c r="O24" i="3"/>
  <c r="F17" i="15" s="1"/>
  <c r="O61" i="3"/>
  <c r="F54" i="15" s="1"/>
  <c r="O66" i="3"/>
  <c r="F59" i="15" s="1"/>
  <c r="O106" i="3"/>
  <c r="F99" i="15" s="1"/>
  <c r="O37" i="3"/>
  <c r="F30" i="15" s="1"/>
  <c r="O47" i="3"/>
  <c r="F40" i="15" s="1"/>
  <c r="O59" i="3"/>
  <c r="F52" i="15" s="1"/>
  <c r="O20" i="3"/>
  <c r="F13" i="15" s="1"/>
  <c r="O84" i="3"/>
  <c r="F77" i="15" s="1"/>
  <c r="O73" i="3"/>
  <c r="F66" i="15" s="1"/>
  <c r="O35" i="3"/>
  <c r="F28" i="15" s="1"/>
  <c r="O109" i="3"/>
  <c r="F102" i="15" s="1"/>
  <c r="O120" i="3"/>
  <c r="F113" i="15" s="1"/>
  <c r="O82" i="3"/>
  <c r="F75" i="15" s="1"/>
  <c r="O49" i="3"/>
  <c r="F42" i="15" s="1"/>
  <c r="O74" i="3"/>
  <c r="F67" i="15" s="1"/>
  <c r="O18" i="3"/>
  <c r="F11" i="15" s="1"/>
  <c r="O46" i="3"/>
  <c r="F39" i="15" s="1"/>
  <c r="O13" i="3"/>
  <c r="F6" i="15" s="1"/>
  <c r="O26" i="3"/>
  <c r="F19" i="15" s="1"/>
  <c r="O95" i="3"/>
  <c r="F88" i="15" s="1"/>
  <c r="O69" i="3"/>
  <c r="F62" i="15" s="1"/>
  <c r="O38" i="3"/>
  <c r="F31" i="15" s="1"/>
  <c r="O65" i="3"/>
  <c r="F58" i="15" s="1"/>
  <c r="O33" i="3"/>
  <c r="F26" i="15" s="1"/>
  <c r="O41" i="3"/>
  <c r="F34" i="15" s="1"/>
  <c r="O25" i="3"/>
  <c r="F18" i="15" s="1"/>
  <c r="H133" i="3"/>
  <c r="H114" i="3"/>
  <c r="H109" i="3"/>
  <c r="H132" i="3"/>
  <c r="H130" i="3"/>
  <c r="H128" i="3"/>
  <c r="H126" i="3"/>
  <c r="H124" i="3"/>
  <c r="H122" i="3"/>
  <c r="H120" i="3"/>
  <c r="H118" i="3"/>
  <c r="H115" i="3"/>
  <c r="H111" i="3"/>
  <c r="H108" i="3"/>
  <c r="H103" i="3"/>
  <c r="H106" i="3"/>
  <c r="H102" i="3"/>
  <c r="H99" i="3"/>
  <c r="H97" i="3"/>
  <c r="H95" i="3"/>
  <c r="H93" i="3"/>
  <c r="H91" i="3"/>
  <c r="H89" i="3"/>
  <c r="H87" i="3"/>
  <c r="H85" i="3"/>
  <c r="H83" i="3"/>
  <c r="H81" i="3"/>
  <c r="H79" i="3"/>
  <c r="H77" i="3"/>
  <c r="H75" i="3"/>
  <c r="H73" i="3"/>
  <c r="H71" i="3"/>
  <c r="H69" i="3"/>
  <c r="H67" i="3"/>
  <c r="H65" i="3"/>
  <c r="H63" i="3"/>
  <c r="H61" i="3"/>
  <c r="H59" i="3"/>
  <c r="H56" i="3"/>
  <c r="H48" i="3"/>
  <c r="H46" i="3"/>
  <c r="H55" i="3"/>
  <c r="H53" i="3"/>
  <c r="H51" i="3"/>
  <c r="H38" i="3"/>
  <c r="H36" i="3"/>
  <c r="H45" i="3"/>
  <c r="H43" i="3"/>
  <c r="H41" i="3"/>
  <c r="H39" i="3"/>
  <c r="H33" i="3"/>
  <c r="H31" i="3"/>
  <c r="H29" i="3"/>
  <c r="H27" i="3"/>
  <c r="H25" i="3"/>
  <c r="H23" i="3"/>
  <c r="H21" i="3"/>
  <c r="H19" i="3"/>
  <c r="H16" i="3"/>
  <c r="H11" i="3"/>
  <c r="H13" i="3"/>
  <c r="H10" i="3"/>
  <c r="H15" i="3"/>
  <c r="H116" i="3"/>
  <c r="H113" i="3"/>
  <c r="H107" i="3"/>
  <c r="H131" i="3"/>
  <c r="H129" i="3"/>
  <c r="H127" i="3"/>
  <c r="H125" i="3"/>
  <c r="H123" i="3"/>
  <c r="H121" i="3"/>
  <c r="H119" i="3"/>
  <c r="H117" i="3"/>
  <c r="H112" i="3"/>
  <c r="H110" i="3"/>
  <c r="H104" i="3"/>
  <c r="H100" i="3"/>
  <c r="H105" i="3"/>
  <c r="H101" i="3"/>
  <c r="H98" i="3"/>
  <c r="H96" i="3"/>
  <c r="H94" i="3"/>
  <c r="H92" i="3"/>
  <c r="H90" i="3"/>
  <c r="H88" i="3"/>
  <c r="H86" i="3"/>
  <c r="H84" i="3"/>
  <c r="H82" i="3"/>
  <c r="H80" i="3"/>
  <c r="H78" i="3"/>
  <c r="H76" i="3"/>
  <c r="H74" i="3"/>
  <c r="H72" i="3"/>
  <c r="H70" i="3"/>
  <c r="H68" i="3"/>
  <c r="H66" i="3"/>
  <c r="H64" i="3"/>
  <c r="H62" i="3"/>
  <c r="H60" i="3"/>
  <c r="H58" i="3"/>
  <c r="H49" i="3"/>
  <c r="H47" i="3"/>
  <c r="H57" i="3"/>
  <c r="H54" i="3"/>
  <c r="H52" i="3"/>
  <c r="H50" i="3"/>
  <c r="H37" i="3"/>
  <c r="H35" i="3"/>
  <c r="H44" i="3"/>
  <c r="H42" i="3"/>
  <c r="H40" i="3"/>
  <c r="H34" i="3"/>
  <c r="H32" i="3"/>
  <c r="H30" i="3"/>
  <c r="H28" i="3"/>
  <c r="H26" i="3"/>
  <c r="H24" i="3"/>
  <c r="H22" i="3"/>
  <c r="H20" i="3"/>
  <c r="H18" i="3"/>
  <c r="H12" i="3"/>
  <c r="H14" i="3"/>
  <c r="H9" i="3"/>
  <c r="H17" i="3"/>
  <c r="J6" i="8"/>
  <c r="I6" i="8"/>
  <c r="P17" i="3" l="1"/>
  <c r="M17" i="3"/>
  <c r="N17" i="3" s="1"/>
  <c r="M18" i="3"/>
  <c r="N18" i="3" s="1"/>
  <c r="P18" i="3"/>
  <c r="M26" i="3"/>
  <c r="N26" i="3" s="1"/>
  <c r="P26" i="3"/>
  <c r="M12" i="3"/>
  <c r="N12" i="3" s="1"/>
  <c r="P12" i="3"/>
  <c r="P20" i="3"/>
  <c r="M20" i="3"/>
  <c r="N20" i="3" s="1"/>
  <c r="M24" i="3"/>
  <c r="N24" i="3" s="1"/>
  <c r="P24" i="3"/>
  <c r="M28" i="3"/>
  <c r="N28" i="3" s="1"/>
  <c r="P28" i="3"/>
  <c r="M32" i="3"/>
  <c r="N32" i="3" s="1"/>
  <c r="P32" i="3"/>
  <c r="P40" i="3"/>
  <c r="M40" i="3"/>
  <c r="N40" i="3" s="1"/>
  <c r="M44" i="3"/>
  <c r="N44" i="3" s="1"/>
  <c r="P44" i="3"/>
  <c r="M37" i="3"/>
  <c r="N37" i="3" s="1"/>
  <c r="P37" i="3"/>
  <c r="M52" i="3"/>
  <c r="N52" i="3" s="1"/>
  <c r="P52" i="3"/>
  <c r="M57" i="3"/>
  <c r="N57" i="3" s="1"/>
  <c r="P57" i="3"/>
  <c r="M49" i="3"/>
  <c r="N49" i="3" s="1"/>
  <c r="P49" i="3"/>
  <c r="M60" i="3"/>
  <c r="N60" i="3" s="1"/>
  <c r="P60" i="3"/>
  <c r="M64" i="3"/>
  <c r="N64" i="3" s="1"/>
  <c r="P64" i="3"/>
  <c r="M68" i="3"/>
  <c r="N68" i="3" s="1"/>
  <c r="P68" i="3"/>
  <c r="M72" i="3"/>
  <c r="N72" i="3" s="1"/>
  <c r="P72" i="3"/>
  <c r="M76" i="3"/>
  <c r="N76" i="3" s="1"/>
  <c r="P76" i="3"/>
  <c r="M80" i="3"/>
  <c r="N80" i="3" s="1"/>
  <c r="P80" i="3"/>
  <c r="M84" i="3"/>
  <c r="N84" i="3" s="1"/>
  <c r="P84" i="3"/>
  <c r="M88" i="3"/>
  <c r="N88" i="3" s="1"/>
  <c r="P88" i="3"/>
  <c r="M92" i="3"/>
  <c r="N92" i="3" s="1"/>
  <c r="P92" i="3"/>
  <c r="P96" i="3"/>
  <c r="M96" i="3"/>
  <c r="N96" i="3" s="1"/>
  <c r="M101" i="3"/>
  <c r="N101" i="3" s="1"/>
  <c r="P101" i="3"/>
  <c r="P100" i="3"/>
  <c r="M100" i="3"/>
  <c r="N100" i="3" s="1"/>
  <c r="P110" i="3"/>
  <c r="M110" i="3"/>
  <c r="N110" i="3" s="1"/>
  <c r="M117" i="3"/>
  <c r="N117" i="3" s="1"/>
  <c r="P117" i="3"/>
  <c r="P121" i="3"/>
  <c r="M121" i="3"/>
  <c r="N121" i="3" s="1"/>
  <c r="P125" i="3"/>
  <c r="M125" i="3"/>
  <c r="N125" i="3" s="1"/>
  <c r="P129" i="3"/>
  <c r="M129" i="3"/>
  <c r="N129" i="3" s="1"/>
  <c r="M107" i="3"/>
  <c r="N107" i="3" s="1"/>
  <c r="P107" i="3"/>
  <c r="P116" i="3"/>
  <c r="M116" i="3"/>
  <c r="N116" i="3" s="1"/>
  <c r="P19" i="3"/>
  <c r="M19" i="3"/>
  <c r="N19" i="3" s="1"/>
  <c r="M23" i="3"/>
  <c r="N23" i="3" s="1"/>
  <c r="P23" i="3"/>
  <c r="M27" i="3"/>
  <c r="N27" i="3" s="1"/>
  <c r="P27" i="3"/>
  <c r="M31" i="3"/>
  <c r="N31" i="3" s="1"/>
  <c r="P31" i="3"/>
  <c r="P39" i="3"/>
  <c r="M39" i="3"/>
  <c r="N39" i="3" s="1"/>
  <c r="P43" i="3"/>
  <c r="M43" i="3"/>
  <c r="N43" i="3" s="1"/>
  <c r="P36" i="3"/>
  <c r="M36" i="3"/>
  <c r="N36" i="3" s="1"/>
  <c r="M51" i="3"/>
  <c r="N51" i="3" s="1"/>
  <c r="P51" i="3"/>
  <c r="M55" i="3"/>
  <c r="N55" i="3" s="1"/>
  <c r="P55" i="3"/>
  <c r="P48" i="3"/>
  <c r="M48" i="3"/>
  <c r="N48" i="3" s="1"/>
  <c r="P59" i="3"/>
  <c r="M59" i="3"/>
  <c r="N59" i="3" s="1"/>
  <c r="P63" i="3"/>
  <c r="M63" i="3"/>
  <c r="N63" i="3" s="1"/>
  <c r="P67" i="3"/>
  <c r="M67" i="3"/>
  <c r="N67" i="3" s="1"/>
  <c r="M71" i="3"/>
  <c r="N71" i="3" s="1"/>
  <c r="P71" i="3"/>
  <c r="M75" i="3"/>
  <c r="N75" i="3" s="1"/>
  <c r="P75" i="3"/>
  <c r="M79" i="3"/>
  <c r="N79" i="3" s="1"/>
  <c r="P79" i="3"/>
  <c r="P83" i="3"/>
  <c r="M83" i="3"/>
  <c r="N83" i="3" s="1"/>
  <c r="P87" i="3"/>
  <c r="M87" i="3"/>
  <c r="N87" i="3" s="1"/>
  <c r="P91" i="3"/>
  <c r="M91" i="3"/>
  <c r="N91" i="3" s="1"/>
  <c r="M95" i="3"/>
  <c r="N95" i="3" s="1"/>
  <c r="P95" i="3"/>
  <c r="M99" i="3"/>
  <c r="N99" i="3" s="1"/>
  <c r="P99" i="3"/>
  <c r="M106" i="3"/>
  <c r="N106" i="3" s="1"/>
  <c r="P106" i="3"/>
  <c r="M108" i="3"/>
  <c r="N108" i="3" s="1"/>
  <c r="P108" i="3"/>
  <c r="P115" i="3"/>
  <c r="M115" i="3"/>
  <c r="N115" i="3" s="1"/>
  <c r="P120" i="3"/>
  <c r="M120" i="3"/>
  <c r="N120" i="3" s="1"/>
  <c r="M124" i="3"/>
  <c r="N124" i="3" s="1"/>
  <c r="P124" i="3"/>
  <c r="M128" i="3"/>
  <c r="N128" i="3" s="1"/>
  <c r="P128" i="3"/>
  <c r="P132" i="3"/>
  <c r="M132" i="3"/>
  <c r="N132" i="3" s="1"/>
  <c r="P114" i="3"/>
  <c r="M114" i="3"/>
  <c r="N114" i="3" s="1"/>
  <c r="M14" i="3"/>
  <c r="N14" i="3" s="1"/>
  <c r="P14" i="3"/>
  <c r="M22" i="3"/>
  <c r="N22" i="3" s="1"/>
  <c r="P22" i="3"/>
  <c r="M30" i="3"/>
  <c r="N30" i="3" s="1"/>
  <c r="P30" i="3"/>
  <c r="M34" i="3"/>
  <c r="N34" i="3" s="1"/>
  <c r="P34" i="3"/>
  <c r="M42" i="3"/>
  <c r="N42" i="3" s="1"/>
  <c r="P42" i="3"/>
  <c r="M35" i="3"/>
  <c r="N35" i="3" s="1"/>
  <c r="P35" i="3"/>
  <c r="M50" i="3"/>
  <c r="N50" i="3" s="1"/>
  <c r="P50" i="3"/>
  <c r="M54" i="3"/>
  <c r="N54" i="3" s="1"/>
  <c r="P54" i="3"/>
  <c r="M47" i="3"/>
  <c r="N47" i="3" s="1"/>
  <c r="P47" i="3"/>
  <c r="M58" i="3"/>
  <c r="N58" i="3" s="1"/>
  <c r="P58" i="3"/>
  <c r="M62" i="3"/>
  <c r="N62" i="3" s="1"/>
  <c r="P62" i="3"/>
  <c r="M66" i="3"/>
  <c r="N66" i="3" s="1"/>
  <c r="P66" i="3"/>
  <c r="M70" i="3"/>
  <c r="N70" i="3" s="1"/>
  <c r="P70" i="3"/>
  <c r="M74" i="3"/>
  <c r="N74" i="3" s="1"/>
  <c r="P74" i="3"/>
  <c r="M78" i="3"/>
  <c r="N78" i="3" s="1"/>
  <c r="P78" i="3"/>
  <c r="M82" i="3"/>
  <c r="N82" i="3" s="1"/>
  <c r="P82" i="3"/>
  <c r="P86" i="3"/>
  <c r="M86" i="3"/>
  <c r="N86" i="3" s="1"/>
  <c r="M90" i="3"/>
  <c r="N90" i="3" s="1"/>
  <c r="P90" i="3"/>
  <c r="M94" i="3"/>
  <c r="N94" i="3" s="1"/>
  <c r="P94" i="3"/>
  <c r="P98" i="3"/>
  <c r="M98" i="3"/>
  <c r="N98" i="3" s="1"/>
  <c r="M105" i="3"/>
  <c r="N105" i="3" s="1"/>
  <c r="P105" i="3"/>
  <c r="P104" i="3"/>
  <c r="M104" i="3"/>
  <c r="N104" i="3" s="1"/>
  <c r="M112" i="3"/>
  <c r="N112" i="3" s="1"/>
  <c r="P112" i="3"/>
  <c r="P119" i="3"/>
  <c r="M119" i="3"/>
  <c r="N119" i="3" s="1"/>
  <c r="M123" i="3"/>
  <c r="N123" i="3" s="1"/>
  <c r="P123" i="3"/>
  <c r="M127" i="3"/>
  <c r="N127" i="3" s="1"/>
  <c r="P127" i="3"/>
  <c r="M131" i="3"/>
  <c r="N131" i="3" s="1"/>
  <c r="P131" i="3"/>
  <c r="M113" i="3"/>
  <c r="N113" i="3" s="1"/>
  <c r="P113" i="3"/>
  <c r="P15" i="3"/>
  <c r="M15" i="3"/>
  <c r="N15" i="3" s="1"/>
  <c r="P13" i="3"/>
  <c r="M13" i="3"/>
  <c r="N13" i="3" s="1"/>
  <c r="M16" i="3"/>
  <c r="N16" i="3" s="1"/>
  <c r="P16" i="3"/>
  <c r="P21" i="3"/>
  <c r="M21" i="3"/>
  <c r="N21" i="3" s="1"/>
  <c r="P25" i="3"/>
  <c r="M25" i="3"/>
  <c r="N25" i="3" s="1"/>
  <c r="P29" i="3"/>
  <c r="M29" i="3"/>
  <c r="N29" i="3" s="1"/>
  <c r="M33" i="3"/>
  <c r="N33" i="3" s="1"/>
  <c r="P33" i="3"/>
  <c r="M41" i="3"/>
  <c r="N41" i="3" s="1"/>
  <c r="P41" i="3"/>
  <c r="M45" i="3"/>
  <c r="N45" i="3" s="1"/>
  <c r="P45" i="3"/>
  <c r="P38" i="3"/>
  <c r="M38" i="3"/>
  <c r="N38" i="3" s="1"/>
  <c r="P53" i="3"/>
  <c r="M53" i="3"/>
  <c r="N53" i="3" s="1"/>
  <c r="P46" i="3"/>
  <c r="M46" i="3"/>
  <c r="N46" i="3" s="1"/>
  <c r="M56" i="3"/>
  <c r="N56" i="3" s="1"/>
  <c r="P56" i="3"/>
  <c r="M61" i="3"/>
  <c r="N61" i="3" s="1"/>
  <c r="P61" i="3"/>
  <c r="M65" i="3"/>
  <c r="N65" i="3" s="1"/>
  <c r="P65" i="3"/>
  <c r="P69" i="3"/>
  <c r="M69" i="3"/>
  <c r="N69" i="3" s="1"/>
  <c r="P73" i="3"/>
  <c r="M73" i="3"/>
  <c r="N73" i="3" s="1"/>
  <c r="P77" i="3"/>
  <c r="M77" i="3"/>
  <c r="N77" i="3" s="1"/>
  <c r="M81" i="3"/>
  <c r="N81" i="3" s="1"/>
  <c r="P81" i="3"/>
  <c r="M85" i="3"/>
  <c r="N85" i="3" s="1"/>
  <c r="P85" i="3"/>
  <c r="M89" i="3"/>
  <c r="N89" i="3" s="1"/>
  <c r="P89" i="3"/>
  <c r="P93" i="3"/>
  <c r="M93" i="3"/>
  <c r="N93" i="3" s="1"/>
  <c r="P97" i="3"/>
  <c r="M97" i="3"/>
  <c r="N97" i="3" s="1"/>
  <c r="P102" i="3"/>
  <c r="M102" i="3"/>
  <c r="N102" i="3" s="1"/>
  <c r="P103" i="3"/>
  <c r="M103" i="3"/>
  <c r="N103" i="3" s="1"/>
  <c r="M111" i="3"/>
  <c r="N111" i="3" s="1"/>
  <c r="P111" i="3"/>
  <c r="M118" i="3"/>
  <c r="N118" i="3" s="1"/>
  <c r="P118" i="3"/>
  <c r="P122" i="3"/>
  <c r="M122" i="3"/>
  <c r="N122" i="3" s="1"/>
  <c r="P126" i="3"/>
  <c r="M126" i="3"/>
  <c r="N126" i="3" s="1"/>
  <c r="P130" i="3"/>
  <c r="M130" i="3"/>
  <c r="N130" i="3" s="1"/>
  <c r="M109" i="3"/>
  <c r="N109" i="3" s="1"/>
  <c r="P109" i="3"/>
  <c r="M133" i="3"/>
  <c r="N133" i="3" s="1"/>
  <c r="P133" i="3"/>
  <c r="O6" i="3" l="1"/>
  <c r="U6" i="3"/>
  <c r="N6" i="3"/>
  <c r="T6" i="3"/>
  <c r="W6" i="3" s="1"/>
  <c r="D13" i="17" s="1"/>
  <c r="C22" i="14"/>
  <c r="L6" i="3" l="1"/>
  <c r="P6" i="3"/>
  <c r="D9" i="8"/>
  <c r="K2" i="9"/>
  <c r="J10" i="8"/>
  <c r="C10" i="13"/>
  <c r="E10" i="13" s="1"/>
  <c r="E4" i="13"/>
  <c r="A9" i="8" l="1"/>
  <c r="D8" i="17"/>
  <c r="M6" i="3"/>
  <c r="K2" i="3"/>
  <c r="M1" i="3" s="1"/>
  <c r="A10" i="8" s="1"/>
  <c r="H4" i="13"/>
  <c r="Q6" i="3"/>
  <c r="J2" i="9"/>
  <c r="Y6" i="3"/>
  <c r="V6" i="3" s="1"/>
  <c r="T130" i="3" l="1"/>
  <c r="T34" i="3"/>
  <c r="S91" i="3"/>
  <c r="T98" i="3"/>
  <c r="S117" i="3"/>
  <c r="T69" i="3"/>
  <c r="S119" i="3"/>
  <c r="S20" i="3"/>
  <c r="S27" i="3"/>
  <c r="T22" i="3"/>
  <c r="T82" i="3"/>
  <c r="S22" i="3"/>
  <c r="S29" i="3"/>
  <c r="T72" i="3"/>
  <c r="S43" i="3"/>
  <c r="S101" i="3"/>
  <c r="S39" i="3"/>
  <c r="S108" i="3"/>
  <c r="T30" i="3"/>
  <c r="T61" i="3"/>
  <c r="T90" i="3"/>
  <c r="T121" i="3"/>
  <c r="S34" i="3"/>
  <c r="S103" i="3"/>
  <c r="S82" i="3"/>
  <c r="S126" i="3"/>
  <c r="T102" i="3"/>
  <c r="S28" i="3"/>
  <c r="S45" i="3"/>
  <c r="S77" i="3"/>
  <c r="S125" i="3"/>
  <c r="S42" i="3"/>
  <c r="S52" i="3"/>
  <c r="S100" i="3"/>
  <c r="S133" i="3"/>
  <c r="T26" i="3"/>
  <c r="T38" i="3"/>
  <c r="T57" i="3"/>
  <c r="T73" i="3"/>
  <c r="T86" i="3"/>
  <c r="T103" i="3"/>
  <c r="T117" i="3"/>
  <c r="P2" i="9"/>
  <c r="S30" i="3"/>
  <c r="S47" i="3"/>
  <c r="S79" i="3"/>
  <c r="S127" i="3"/>
  <c r="S44" i="3"/>
  <c r="S54" i="3"/>
  <c r="S110" i="3"/>
  <c r="T31" i="3"/>
  <c r="T85" i="3"/>
  <c r="S102" i="3"/>
  <c r="I9" i="8"/>
  <c r="T27" i="3"/>
  <c r="T46" i="3"/>
  <c r="T80" i="3"/>
  <c r="T111" i="3"/>
  <c r="S33" i="3"/>
  <c r="S24" i="3"/>
  <c r="S36" i="3"/>
  <c r="S93" i="3"/>
  <c r="S57" i="3"/>
  <c r="S73" i="3"/>
  <c r="S105" i="3"/>
  <c r="S121" i="3"/>
  <c r="S15" i="3"/>
  <c r="S31" i="3"/>
  <c r="S84" i="3"/>
  <c r="S48" i="3"/>
  <c r="S64" i="3"/>
  <c r="S80" i="3"/>
  <c r="S112" i="3"/>
  <c r="S128" i="3"/>
  <c r="T16" i="3"/>
  <c r="T24" i="3"/>
  <c r="T32" i="3"/>
  <c r="T36" i="3"/>
  <c r="T44" i="3"/>
  <c r="T55" i="3"/>
  <c r="T63" i="3"/>
  <c r="T71" i="3"/>
  <c r="T79" i="3"/>
  <c r="T84" i="3"/>
  <c r="T92" i="3"/>
  <c r="T101" i="3"/>
  <c r="T110" i="3"/>
  <c r="T115" i="3"/>
  <c r="T123" i="3"/>
  <c r="T131" i="3"/>
  <c r="S10" i="3"/>
  <c r="S26" i="3"/>
  <c r="S38" i="3"/>
  <c r="S95" i="3"/>
  <c r="S59" i="3"/>
  <c r="S75" i="3"/>
  <c r="S107" i="3"/>
  <c r="S123" i="3"/>
  <c r="S17" i="3"/>
  <c r="S40" i="3"/>
  <c r="S86" i="3"/>
  <c r="S50" i="3"/>
  <c r="S66" i="3"/>
  <c r="S98" i="3"/>
  <c r="S114" i="3"/>
  <c r="S130" i="3"/>
  <c r="T17" i="3"/>
  <c r="T25" i="3"/>
  <c r="T10" i="3"/>
  <c r="G3" i="15" s="1"/>
  <c r="T41" i="3"/>
  <c r="T60" i="3"/>
  <c r="T76" i="3"/>
  <c r="T89" i="3"/>
  <c r="T106" i="3"/>
  <c r="T120" i="3"/>
  <c r="T35" i="3"/>
  <c r="T43" i="3"/>
  <c r="T54" i="3"/>
  <c r="T62" i="3"/>
  <c r="T70" i="3"/>
  <c r="T78" i="3"/>
  <c r="T83" i="3"/>
  <c r="T91" i="3"/>
  <c r="T100" i="3"/>
  <c r="T109" i="3"/>
  <c r="T114" i="3"/>
  <c r="T122" i="3"/>
  <c r="S89" i="3"/>
  <c r="S96" i="3"/>
  <c r="S46" i="3"/>
  <c r="S124" i="3"/>
  <c r="T129" i="3"/>
  <c r="T23" i="3"/>
  <c r="S69" i="3"/>
  <c r="S76" i="3"/>
  <c r="T53" i="3"/>
  <c r="T113" i="3"/>
  <c r="S71" i="3"/>
  <c r="S78" i="3"/>
  <c r="S13" i="3"/>
  <c r="S53" i="3"/>
  <c r="S132" i="3"/>
  <c r="S60" i="3"/>
  <c r="T12" i="3"/>
  <c r="X12" i="3" s="1"/>
  <c r="T42" i="3"/>
  <c r="T77" i="3"/>
  <c r="T99" i="3"/>
  <c r="S55" i="3"/>
  <c r="S11" i="3"/>
  <c r="S62" i="3"/>
  <c r="T37" i="3"/>
  <c r="S12" i="3"/>
  <c r="S81" i="3"/>
  <c r="S61" i="3"/>
  <c r="S109" i="3"/>
  <c r="S19" i="3"/>
  <c r="S88" i="3"/>
  <c r="S68" i="3"/>
  <c r="S116" i="3"/>
  <c r="T18" i="3"/>
  <c r="T13" i="3"/>
  <c r="W13" i="3" s="1"/>
  <c r="I6" i="15" s="1"/>
  <c r="T47" i="3"/>
  <c r="T65" i="3"/>
  <c r="T45" i="3"/>
  <c r="T94" i="3"/>
  <c r="T112" i="3"/>
  <c r="T125" i="3"/>
  <c r="S14" i="3"/>
  <c r="S83" i="3"/>
  <c r="S63" i="3"/>
  <c r="S111" i="3"/>
  <c r="S21" i="3"/>
  <c r="S90" i="3"/>
  <c r="S70" i="3"/>
  <c r="T15" i="3"/>
  <c r="W15" i="3" s="1"/>
  <c r="I8" i="15" s="1"/>
  <c r="T56" i="3"/>
  <c r="T116" i="3"/>
  <c r="S118" i="3"/>
  <c r="T19" i="3"/>
  <c r="T14" i="3"/>
  <c r="W14" i="3" s="1"/>
  <c r="I7" i="15" s="1"/>
  <c r="T64" i="3"/>
  <c r="T93" i="3"/>
  <c r="T124" i="3"/>
  <c r="S16" i="3"/>
  <c r="S32" i="3"/>
  <c r="S85" i="3"/>
  <c r="S49" i="3"/>
  <c r="S65" i="3"/>
  <c r="S97" i="3"/>
  <c r="S113" i="3"/>
  <c r="S129" i="3"/>
  <c r="S23" i="3"/>
  <c r="S35" i="3"/>
  <c r="S92" i="3"/>
  <c r="S56" i="3"/>
  <c r="S72" i="3"/>
  <c r="S104" i="3"/>
  <c r="S120" i="3"/>
  <c r="S6" i="3"/>
  <c r="R6" i="3" s="1"/>
  <c r="T20" i="3"/>
  <c r="T28" i="3"/>
  <c r="T9" i="3"/>
  <c r="G2" i="15" s="1"/>
  <c r="T40" i="3"/>
  <c r="T50" i="3"/>
  <c r="T59" i="3"/>
  <c r="T67" i="3"/>
  <c r="T75" i="3"/>
  <c r="T51" i="3"/>
  <c r="T88" i="3"/>
  <c r="T96" i="3"/>
  <c r="T105" i="3"/>
  <c r="T107" i="3"/>
  <c r="T119" i="3"/>
  <c r="T127" i="3"/>
  <c r="S9" i="3"/>
  <c r="S18" i="3"/>
  <c r="S41" i="3"/>
  <c r="S87" i="3"/>
  <c r="S51" i="3"/>
  <c r="S67" i="3"/>
  <c r="S99" i="3"/>
  <c r="S115" i="3"/>
  <c r="S131" i="3"/>
  <c r="S25" i="3"/>
  <c r="S37" i="3"/>
  <c r="S94" i="3"/>
  <c r="S58" i="3"/>
  <c r="S74" i="3"/>
  <c r="S106" i="3"/>
  <c r="S122" i="3"/>
  <c r="T11" i="3"/>
  <c r="X11" i="3" s="1"/>
  <c r="T21" i="3"/>
  <c r="T29" i="3"/>
  <c r="T33" i="3"/>
  <c r="T52" i="3"/>
  <c r="T68" i="3"/>
  <c r="T81" i="3"/>
  <c r="T97" i="3"/>
  <c r="T108" i="3"/>
  <c r="T133" i="3"/>
  <c r="G126" i="15" s="1"/>
  <c r="T128" i="3"/>
  <c r="T39" i="3"/>
  <c r="T48" i="3"/>
  <c r="T58" i="3"/>
  <c r="T66" i="3"/>
  <c r="T74" i="3"/>
  <c r="T49" i="3"/>
  <c r="T87" i="3"/>
  <c r="T95" i="3"/>
  <c r="T104" i="3"/>
  <c r="T132" i="3"/>
  <c r="G125" i="15" s="1"/>
  <c r="T118" i="3"/>
  <c r="T126" i="3"/>
  <c r="V61" i="3"/>
  <c r="V112" i="3"/>
  <c r="V75" i="3"/>
  <c r="V86" i="3"/>
  <c r="V82" i="3"/>
  <c r="V54" i="3"/>
  <c r="V73" i="3"/>
  <c r="V123" i="3"/>
  <c r="V65" i="3"/>
  <c r="V95" i="3"/>
  <c r="V30" i="3"/>
  <c r="V53" i="3"/>
  <c r="V102" i="3"/>
  <c r="V91" i="3"/>
  <c r="V26" i="3"/>
  <c r="V94" i="3"/>
  <c r="V42" i="3"/>
  <c r="V119" i="3"/>
  <c r="V96" i="3"/>
  <c r="V33" i="3"/>
  <c r="V121" i="3"/>
  <c r="V57" i="3"/>
  <c r="V32" i="3"/>
  <c r="V19" i="3"/>
  <c r="V51" i="3"/>
  <c r="V13" i="3"/>
  <c r="V124" i="3"/>
  <c r="V39" i="3"/>
  <c r="V92" i="3"/>
  <c r="V77" i="3"/>
  <c r="V84" i="3"/>
  <c r="V46" i="3"/>
  <c r="V113" i="3"/>
  <c r="V45" i="3"/>
  <c r="V20" i="3"/>
  <c r="V38" i="3"/>
  <c r="V67" i="3"/>
  <c r="V15" i="3"/>
  <c r="V76" i="3"/>
  <c r="V63" i="3"/>
  <c r="V111" i="3"/>
  <c r="V12" i="3"/>
  <c r="V9" i="3"/>
  <c r="V22" i="3"/>
  <c r="V17" i="3"/>
  <c r="V80" i="3"/>
  <c r="V37" i="3"/>
  <c r="V43" i="3"/>
  <c r="V28" i="3"/>
  <c r="V98" i="3"/>
  <c r="V78" i="3"/>
  <c r="V50" i="3"/>
  <c r="V74" i="3"/>
  <c r="V14" i="3"/>
  <c r="V110" i="3"/>
  <c r="V24" i="3"/>
  <c r="V64" i="3"/>
  <c r="V118" i="3"/>
  <c r="V47" i="3"/>
  <c r="V48" i="3"/>
  <c r="V44" i="3"/>
  <c r="V85" i="3"/>
  <c r="V62" i="3"/>
  <c r="V11" i="3"/>
  <c r="V83" i="3"/>
  <c r="V97" i="3"/>
  <c r="V116" i="3"/>
  <c r="V108" i="3"/>
  <c r="V129" i="3"/>
  <c r="V88" i="3"/>
  <c r="V104" i="3"/>
  <c r="V125" i="3"/>
  <c r="V69" i="3"/>
  <c r="V130" i="3"/>
  <c r="V132" i="3"/>
  <c r="V122" i="3"/>
  <c r="V66" i="3"/>
  <c r="V114" i="3"/>
  <c r="V10" i="3"/>
  <c r="V49" i="3"/>
  <c r="V105" i="3"/>
  <c r="V36" i="3"/>
  <c r="V40" i="3"/>
  <c r="V60" i="3"/>
  <c r="V35" i="3"/>
  <c r="V71" i="3"/>
  <c r="V81" i="3"/>
  <c r="V27" i="3"/>
  <c r="V90" i="3"/>
  <c r="V34" i="3"/>
  <c r="V29" i="3"/>
  <c r="V109" i="3"/>
  <c r="V115" i="3"/>
  <c r="V31" i="3"/>
  <c r="V41" i="3"/>
  <c r="V101" i="3"/>
  <c r="V89" i="3"/>
  <c r="V52" i="3"/>
  <c r="V87" i="3"/>
  <c r="V79" i="3"/>
  <c r="V127" i="3"/>
  <c r="V106" i="3"/>
  <c r="V68" i="3"/>
  <c r="V55" i="3"/>
  <c r="V133" i="3"/>
  <c r="V131" i="3"/>
  <c r="V70" i="3"/>
  <c r="V100" i="3"/>
  <c r="V18" i="3"/>
  <c r="V72" i="3"/>
  <c r="V21" i="3"/>
  <c r="V93" i="3"/>
  <c r="V56" i="3"/>
  <c r="V107" i="3"/>
  <c r="V23" i="3"/>
  <c r="V126" i="3"/>
  <c r="V59" i="3"/>
  <c r="V117" i="3"/>
  <c r="V120" i="3"/>
  <c r="V99" i="3"/>
  <c r="V128" i="3"/>
  <c r="V16" i="3"/>
  <c r="V58" i="3"/>
  <c r="V25" i="3"/>
  <c r="V103" i="3"/>
  <c r="G42" i="15" l="1"/>
  <c r="W49" i="3"/>
  <c r="I42" i="15" s="1"/>
  <c r="G121" i="15"/>
  <c r="W128" i="3"/>
  <c r="I121" i="15" s="1"/>
  <c r="G101" i="15"/>
  <c r="W108" i="3"/>
  <c r="I101" i="15" s="1"/>
  <c r="G45" i="15"/>
  <c r="W52" i="3"/>
  <c r="I45" i="15" s="1"/>
  <c r="G112" i="15"/>
  <c r="W119" i="3"/>
  <c r="I112" i="15" s="1"/>
  <c r="G81" i="15"/>
  <c r="W88" i="3"/>
  <c r="I81" i="15" s="1"/>
  <c r="G68" i="15"/>
  <c r="W75" i="3"/>
  <c r="I68" i="15" s="1"/>
  <c r="G33" i="15"/>
  <c r="W40" i="3"/>
  <c r="I33" i="15" s="1"/>
  <c r="G21" i="15"/>
  <c r="W28" i="3"/>
  <c r="I21" i="15" s="1"/>
  <c r="G111" i="15"/>
  <c r="W118" i="3"/>
  <c r="I111" i="15" s="1"/>
  <c r="G97" i="15"/>
  <c r="W104" i="3"/>
  <c r="I97" i="15" s="1"/>
  <c r="G80" i="15"/>
  <c r="W87" i="3"/>
  <c r="I80" i="15" s="1"/>
  <c r="G67" i="15"/>
  <c r="W74" i="3"/>
  <c r="I67" i="15" s="1"/>
  <c r="G51" i="15"/>
  <c r="W58" i="3"/>
  <c r="I51" i="15" s="1"/>
  <c r="G32" i="15"/>
  <c r="W39" i="3"/>
  <c r="I32" i="15" s="1"/>
  <c r="G90" i="15"/>
  <c r="W97" i="3"/>
  <c r="I90" i="15" s="1"/>
  <c r="G61" i="15"/>
  <c r="W68" i="3"/>
  <c r="I61" i="15" s="1"/>
  <c r="G26" i="15"/>
  <c r="W33" i="3"/>
  <c r="I26" i="15" s="1"/>
  <c r="G14" i="15"/>
  <c r="W21" i="3"/>
  <c r="I14" i="15" s="1"/>
  <c r="G120" i="15"/>
  <c r="W127" i="3"/>
  <c r="I120" i="15" s="1"/>
  <c r="G100" i="15"/>
  <c r="W107" i="3"/>
  <c r="I100" i="15" s="1"/>
  <c r="G89" i="15"/>
  <c r="W96" i="3"/>
  <c r="I89" i="15" s="1"/>
  <c r="G44" i="15"/>
  <c r="W51" i="3"/>
  <c r="I44" i="15" s="1"/>
  <c r="G60" i="15"/>
  <c r="W67" i="3"/>
  <c r="I60" i="15" s="1"/>
  <c r="G43" i="15"/>
  <c r="W50" i="3"/>
  <c r="I43" i="15" s="1"/>
  <c r="G13" i="15"/>
  <c r="W20" i="3"/>
  <c r="I13" i="15" s="1"/>
  <c r="G86" i="15"/>
  <c r="W93" i="3"/>
  <c r="I86" i="15" s="1"/>
  <c r="G49" i="15"/>
  <c r="W56" i="3"/>
  <c r="I49" i="15" s="1"/>
  <c r="G105" i="15"/>
  <c r="W112" i="3"/>
  <c r="I105" i="15" s="1"/>
  <c r="G38" i="15"/>
  <c r="W45" i="3"/>
  <c r="I38" i="15" s="1"/>
  <c r="G40" i="15"/>
  <c r="W47" i="3"/>
  <c r="I40" i="15" s="1"/>
  <c r="G11" i="15"/>
  <c r="W18" i="3"/>
  <c r="I11" i="15" s="1"/>
  <c r="G70" i="15"/>
  <c r="W77" i="3"/>
  <c r="I70" i="15" s="1"/>
  <c r="G5" i="15"/>
  <c r="W12" i="3"/>
  <c r="I5" i="15" s="1"/>
  <c r="G46" i="15"/>
  <c r="W53" i="3"/>
  <c r="I46" i="15" s="1"/>
  <c r="G122" i="15"/>
  <c r="W129" i="3"/>
  <c r="I122" i="15" s="1"/>
  <c r="G107" i="15"/>
  <c r="W114" i="3"/>
  <c r="I107" i="15" s="1"/>
  <c r="G93" i="15"/>
  <c r="W100" i="3"/>
  <c r="I93" i="15" s="1"/>
  <c r="G76" i="15"/>
  <c r="W83" i="3"/>
  <c r="I76" i="15" s="1"/>
  <c r="G63" i="15"/>
  <c r="W70" i="3"/>
  <c r="I63" i="15" s="1"/>
  <c r="G47" i="15"/>
  <c r="W54" i="3"/>
  <c r="I47" i="15" s="1"/>
  <c r="G28" i="15"/>
  <c r="W35" i="3"/>
  <c r="I28" i="15" s="1"/>
  <c r="G99" i="15"/>
  <c r="W106" i="3"/>
  <c r="I99" i="15" s="1"/>
  <c r="G69" i="15"/>
  <c r="W76" i="3"/>
  <c r="I69" i="15" s="1"/>
  <c r="G34" i="15"/>
  <c r="W41" i="3"/>
  <c r="I34" i="15" s="1"/>
  <c r="G18" i="15"/>
  <c r="W25" i="3"/>
  <c r="I18" i="15" s="1"/>
  <c r="G124" i="15"/>
  <c r="W131" i="3"/>
  <c r="I124" i="15" s="1"/>
  <c r="G108" i="15"/>
  <c r="W115" i="3"/>
  <c r="I108" i="15" s="1"/>
  <c r="G94" i="15"/>
  <c r="W101" i="3"/>
  <c r="I94" i="15" s="1"/>
  <c r="G77" i="15"/>
  <c r="W84" i="3"/>
  <c r="I77" i="15" s="1"/>
  <c r="G64" i="15"/>
  <c r="W71" i="3"/>
  <c r="I64" i="15" s="1"/>
  <c r="G48" i="15"/>
  <c r="W55" i="3"/>
  <c r="I48" i="15" s="1"/>
  <c r="G29" i="15"/>
  <c r="W36" i="3"/>
  <c r="I29" i="15" s="1"/>
  <c r="G17" i="15"/>
  <c r="W24" i="3"/>
  <c r="I17" i="15" s="1"/>
  <c r="G104" i="15"/>
  <c r="W111" i="3"/>
  <c r="I104" i="15" s="1"/>
  <c r="G39" i="15"/>
  <c r="W46" i="3"/>
  <c r="I39" i="15" s="1"/>
  <c r="G78" i="15"/>
  <c r="W85" i="3"/>
  <c r="I78" i="15" s="1"/>
  <c r="G110" i="15"/>
  <c r="W117" i="3"/>
  <c r="I110" i="15" s="1"/>
  <c r="G79" i="15"/>
  <c r="W86" i="3"/>
  <c r="I79" i="15" s="1"/>
  <c r="G50" i="15"/>
  <c r="W57" i="3"/>
  <c r="I50" i="15" s="1"/>
  <c r="G19" i="15"/>
  <c r="W26" i="3"/>
  <c r="I19" i="15" s="1"/>
  <c r="G114" i="15"/>
  <c r="W121" i="3"/>
  <c r="I114" i="15" s="1"/>
  <c r="G54" i="15"/>
  <c r="W61" i="3"/>
  <c r="I54" i="15" s="1"/>
  <c r="G65" i="15"/>
  <c r="W72" i="3"/>
  <c r="I65" i="15" s="1"/>
  <c r="G15" i="15"/>
  <c r="W22" i="3"/>
  <c r="I15" i="15" s="1"/>
  <c r="G62" i="15"/>
  <c r="W69" i="3"/>
  <c r="I62" i="15" s="1"/>
  <c r="G91" i="15"/>
  <c r="W98" i="3"/>
  <c r="I91" i="15" s="1"/>
  <c r="G27" i="15"/>
  <c r="W34" i="3"/>
  <c r="I27" i="15" s="1"/>
  <c r="G119" i="15"/>
  <c r="W126" i="3"/>
  <c r="I119" i="15" s="1"/>
  <c r="G88" i="15"/>
  <c r="W95" i="3"/>
  <c r="I88" i="15" s="1"/>
  <c r="G59" i="15"/>
  <c r="W66" i="3"/>
  <c r="I59" i="15" s="1"/>
  <c r="G41" i="15"/>
  <c r="W48" i="3"/>
  <c r="I41" i="15" s="1"/>
  <c r="G74" i="15"/>
  <c r="W81" i="3"/>
  <c r="I74" i="15" s="1"/>
  <c r="G22" i="15"/>
  <c r="W29" i="3"/>
  <c r="I22" i="15" s="1"/>
  <c r="G98" i="15"/>
  <c r="W105" i="3"/>
  <c r="I98" i="15" s="1"/>
  <c r="G52" i="15"/>
  <c r="W59" i="3"/>
  <c r="I52" i="15" s="1"/>
  <c r="G117" i="15"/>
  <c r="W124" i="3"/>
  <c r="I117" i="15" s="1"/>
  <c r="G57" i="15"/>
  <c r="W64" i="3"/>
  <c r="I57" i="15" s="1"/>
  <c r="G12" i="15"/>
  <c r="W19" i="3"/>
  <c r="I12" i="15" s="1"/>
  <c r="G109" i="15"/>
  <c r="W116" i="3"/>
  <c r="I109" i="15" s="1"/>
  <c r="G118" i="15"/>
  <c r="W125" i="3"/>
  <c r="I118" i="15" s="1"/>
  <c r="G87" i="15"/>
  <c r="W94" i="3"/>
  <c r="I87" i="15" s="1"/>
  <c r="G58" i="15"/>
  <c r="W65" i="3"/>
  <c r="I58" i="15" s="1"/>
  <c r="G30" i="15"/>
  <c r="W37" i="3"/>
  <c r="I30" i="15" s="1"/>
  <c r="G92" i="15"/>
  <c r="W99" i="3"/>
  <c r="I92" i="15" s="1"/>
  <c r="G35" i="15"/>
  <c r="W42" i="3"/>
  <c r="I35" i="15" s="1"/>
  <c r="G106" i="15"/>
  <c r="W113" i="3"/>
  <c r="I106" i="15" s="1"/>
  <c r="G16" i="15"/>
  <c r="W23" i="3"/>
  <c r="I16" i="15" s="1"/>
  <c r="G115" i="15"/>
  <c r="W122" i="3"/>
  <c r="I115" i="15" s="1"/>
  <c r="G102" i="15"/>
  <c r="W109" i="3"/>
  <c r="I102" i="15" s="1"/>
  <c r="G84" i="15"/>
  <c r="W91" i="3"/>
  <c r="I84" i="15" s="1"/>
  <c r="G71" i="15"/>
  <c r="W78" i="3"/>
  <c r="I71" i="15" s="1"/>
  <c r="G55" i="15"/>
  <c r="W62" i="3"/>
  <c r="I55" i="15" s="1"/>
  <c r="G36" i="15"/>
  <c r="W43" i="3"/>
  <c r="I36" i="15" s="1"/>
  <c r="G113" i="15"/>
  <c r="W120" i="3"/>
  <c r="I113" i="15" s="1"/>
  <c r="G82" i="15"/>
  <c r="W89" i="3"/>
  <c r="I82" i="15" s="1"/>
  <c r="G53" i="15"/>
  <c r="W60" i="3"/>
  <c r="I53" i="15" s="1"/>
  <c r="G10" i="15"/>
  <c r="W17" i="3"/>
  <c r="I10" i="15" s="1"/>
  <c r="G116" i="15"/>
  <c r="W123" i="3"/>
  <c r="I116" i="15" s="1"/>
  <c r="G103" i="15"/>
  <c r="W110" i="3"/>
  <c r="I103" i="15" s="1"/>
  <c r="G85" i="15"/>
  <c r="W92" i="3"/>
  <c r="I85" i="15" s="1"/>
  <c r="G72" i="15"/>
  <c r="W79" i="3"/>
  <c r="I72" i="15" s="1"/>
  <c r="G56" i="15"/>
  <c r="W63" i="3"/>
  <c r="I56" i="15" s="1"/>
  <c r="G37" i="15"/>
  <c r="W44" i="3"/>
  <c r="I37" i="15" s="1"/>
  <c r="G25" i="15"/>
  <c r="W32" i="3"/>
  <c r="I25" i="15" s="1"/>
  <c r="G9" i="15"/>
  <c r="W16" i="3"/>
  <c r="I9" i="15" s="1"/>
  <c r="G73" i="15"/>
  <c r="W80" i="3"/>
  <c r="I73" i="15" s="1"/>
  <c r="G20" i="15"/>
  <c r="W27" i="3"/>
  <c r="I20" i="15" s="1"/>
  <c r="G24" i="15"/>
  <c r="W31" i="3"/>
  <c r="I24" i="15" s="1"/>
  <c r="G96" i="15"/>
  <c r="W103" i="3"/>
  <c r="I96" i="15" s="1"/>
  <c r="G66" i="15"/>
  <c r="W73" i="3"/>
  <c r="I66" i="15" s="1"/>
  <c r="G31" i="15"/>
  <c r="W38" i="3"/>
  <c r="I31" i="15" s="1"/>
  <c r="G95" i="15"/>
  <c r="W102" i="3"/>
  <c r="I95" i="15" s="1"/>
  <c r="G83" i="15"/>
  <c r="W90" i="3"/>
  <c r="I83" i="15" s="1"/>
  <c r="G23" i="15"/>
  <c r="W30" i="3"/>
  <c r="I23" i="15" s="1"/>
  <c r="G75" i="15"/>
  <c r="W82" i="3"/>
  <c r="I75" i="15" s="1"/>
  <c r="G123" i="15"/>
  <c r="W130" i="3"/>
  <c r="I123" i="15" s="1"/>
  <c r="G4" i="15"/>
  <c r="W11" i="3"/>
  <c r="I4" i="15" s="1"/>
  <c r="H87" i="15"/>
  <c r="H105" i="15"/>
  <c r="H117" i="15"/>
  <c r="H11" i="15"/>
  <c r="H106" i="15"/>
  <c r="H56" i="15"/>
  <c r="H19" i="15"/>
  <c r="H48" i="15"/>
  <c r="H85" i="15"/>
  <c r="H44" i="15"/>
  <c r="H123" i="15"/>
  <c r="H13" i="15"/>
  <c r="H55" i="15"/>
  <c r="H38" i="15"/>
  <c r="H8" i="15"/>
  <c r="H92" i="15"/>
  <c r="H115" i="15"/>
  <c r="H74" i="15"/>
  <c r="H100" i="15"/>
  <c r="H16" i="15"/>
  <c r="H119" i="15"/>
  <c r="H121" i="15"/>
  <c r="H99" i="15"/>
  <c r="H68" i="15"/>
  <c r="H78" i="15"/>
  <c r="H86" i="15"/>
  <c r="H67" i="15"/>
  <c r="H66" i="15"/>
  <c r="H41" i="15"/>
  <c r="H64" i="15"/>
  <c r="H111" i="15"/>
  <c r="H62" i="15"/>
  <c r="H4" i="15"/>
  <c r="H60" i="15"/>
  <c r="H109" i="15"/>
  <c r="H110" i="15"/>
  <c r="H26" i="15"/>
  <c r="H81" i="15"/>
  <c r="H15" i="15"/>
  <c r="H12" i="15"/>
  <c r="H32" i="15"/>
  <c r="H34" i="15"/>
  <c r="H120" i="15"/>
  <c r="H63" i="15"/>
  <c r="H102" i="15"/>
  <c r="H3" i="15"/>
  <c r="H35" i="15"/>
  <c r="H21" i="15"/>
  <c r="H73" i="15"/>
  <c r="H59" i="15"/>
  <c r="H84" i="15"/>
  <c r="H49" i="15"/>
  <c r="H96" i="15"/>
  <c r="H70" i="15"/>
  <c r="H77" i="15"/>
  <c r="H37" i="15"/>
  <c r="H57" i="15"/>
  <c r="H116" i="15"/>
  <c r="H29" i="15"/>
  <c r="H5" i="15"/>
  <c r="H95" i="15"/>
  <c r="H51" i="15"/>
  <c r="H50" i="15"/>
  <c r="H28" i="15"/>
  <c r="H88" i="15"/>
  <c r="H98" i="15"/>
  <c r="H124" i="15"/>
  <c r="H58" i="15"/>
  <c r="H122" i="15"/>
  <c r="H14" i="15"/>
  <c r="H46" i="15"/>
  <c r="H126" i="15"/>
  <c r="H9" i="15"/>
  <c r="H24" i="15"/>
  <c r="H82" i="15"/>
  <c r="H125" i="15"/>
  <c r="H53" i="15"/>
  <c r="H80" i="15"/>
  <c r="H27" i="15"/>
  <c r="H114" i="15"/>
  <c r="H90" i="15"/>
  <c r="H89" i="15"/>
  <c r="H47" i="15"/>
  <c r="H112" i="15"/>
  <c r="H30" i="15"/>
  <c r="H76" i="15"/>
  <c r="H97" i="15"/>
  <c r="H18" i="15"/>
  <c r="H113" i="15"/>
  <c r="H22" i="15"/>
  <c r="H20" i="15"/>
  <c r="H7" i="15"/>
  <c r="H36" i="15"/>
  <c r="H23" i="15"/>
  <c r="H6" i="15"/>
  <c r="H75" i="15"/>
  <c r="H31" i="15"/>
  <c r="H43" i="15"/>
  <c r="H52" i="15"/>
  <c r="H17" i="15"/>
  <c r="H25" i="15"/>
  <c r="H69" i="15"/>
  <c r="H71" i="15"/>
  <c r="H72" i="15"/>
  <c r="H104" i="15"/>
  <c r="H61" i="15"/>
  <c r="H103" i="15"/>
  <c r="H93" i="15"/>
  <c r="H118" i="15"/>
  <c r="H39" i="15"/>
  <c r="H65" i="15"/>
  <c r="H42" i="15"/>
  <c r="H40" i="15"/>
  <c r="H94" i="15"/>
  <c r="H54" i="15"/>
  <c r="H91" i="15"/>
  <c r="H107" i="15"/>
  <c r="H108" i="15"/>
  <c r="H83" i="15"/>
  <c r="H101" i="15"/>
  <c r="H33" i="15"/>
  <c r="H79" i="15"/>
  <c r="H45" i="15"/>
  <c r="H10" i="15"/>
  <c r="H2" i="15"/>
  <c r="X15" i="3"/>
  <c r="G8" i="15"/>
  <c r="X13" i="3"/>
  <c r="G6" i="15"/>
  <c r="X14" i="3"/>
  <c r="G7" i="15"/>
  <c r="L2" i="9"/>
  <c r="E9" i="8"/>
  <c r="Z6" i="3" l="1"/>
  <c r="K9" i="8" s="1"/>
  <c r="AA6" i="3"/>
  <c r="J4" i="3" s="1"/>
  <c r="R1" i="3" s="1"/>
  <c r="L8" i="8" s="1"/>
  <c r="R2" i="9" l="1"/>
</calcChain>
</file>

<file path=xl/comments1.xml><?xml version="1.0" encoding="utf-8"?>
<comments xmlns="http://schemas.openxmlformats.org/spreadsheetml/2006/main">
  <authors>
    <author xml:space="preserve"> </author>
    <author>James Swirhun</author>
  </authors>
  <commentList>
    <comment ref="A5" authorId="0">
      <text>
        <r>
          <rPr>
            <b/>
            <sz val="10"/>
            <color indexed="81"/>
            <rFont val="Tahoma"/>
            <family val="2"/>
          </rPr>
          <t>The Sample Name is also used for the filename when saving data so avoid special characters: / ? * etc</t>
        </r>
      </text>
    </comment>
    <comment ref="B5" authorId="0">
      <text>
        <r>
          <rPr>
            <b/>
            <sz val="10"/>
            <color indexed="81"/>
            <rFont val="Tahoma"/>
            <family val="2"/>
          </rPr>
          <t>Thickness of the wafer in cm
e.g. A 100 µm wafer is 0.01 cm thick.</t>
        </r>
      </text>
    </comment>
    <comment ref="C5" authorId="0">
      <text>
        <r>
          <rPr>
            <b/>
            <sz val="10"/>
            <color indexed="81"/>
            <rFont val="Tahoma"/>
            <family val="2"/>
          </rPr>
          <t>Wafer bulk resistivity.</t>
        </r>
        <r>
          <rPr>
            <b/>
            <sz val="10"/>
            <color indexed="10"/>
            <rFont val="Tahoma"/>
            <family val="2"/>
          </rPr>
          <t xml:space="preserve">
An accurate resistivity (not nominal) is required for accurate calculation of Implied Voc.</t>
        </r>
      </text>
    </comment>
    <comment ref="D5" authorId="1">
      <text>
        <r>
          <rPr>
            <b/>
            <sz val="10"/>
            <color indexed="81"/>
            <rFont val="Tahoma"/>
            <family val="2"/>
          </rPr>
          <t xml:space="preserve">Select p-type or n-type from the drop-down menu.
</t>
        </r>
      </text>
    </comment>
    <comment ref="E5" authorId="0">
      <text>
        <r>
          <rPr>
            <b/>
            <sz val="10"/>
            <color indexed="81"/>
            <rFont val="Tahoma"/>
            <family val="2"/>
          </rPr>
          <t>Photogeneration fraction compared to 38 mA/cm² default.  See User Manual for more details.</t>
        </r>
      </text>
    </comment>
    <comment ref="F5" authorId="0">
      <text>
        <r>
          <rPr>
            <b/>
            <sz val="10"/>
            <color indexed="81"/>
            <rFont val="Tahoma"/>
            <family val="2"/>
          </rPr>
          <t>Minority Carrier Density (MCD) for calculating the lifetime. For most materials the lifetime is not a single parameter but a function of minority carrier density.</t>
        </r>
      </text>
    </comment>
    <comment ref="G5" authorId="0">
      <text>
        <r>
          <rPr>
            <b/>
            <sz val="10"/>
            <color indexed="81"/>
            <rFont val="Tahoma"/>
            <family val="2"/>
          </rPr>
          <t>Light bias corrects traps and removes anomalously high lifetimes in QSS mode.  Not necessary for all samples or in transient mode.  See user manual for more details on how to recognize a sample with trapping.
Typically bias light should be set to 3 suns if trapping is apparent in the signal.</t>
        </r>
      </text>
    </comment>
    <comment ref="H5" authorId="0">
      <text>
        <r>
          <rPr>
            <b/>
            <sz val="10"/>
            <color indexed="81"/>
            <rFont val="Tahoma"/>
            <family val="2"/>
          </rPr>
          <t>Select Analysis Mode from Drop-down Menu.  
Use QSS mode for samples with lifetime less than 200us.  Set flash to 1/1 for QSS mode.  
Use transient mode for samples with lifetime greater than 200us, with flash set to 1/64.  For samples very near 200us, use Generalized mode, and either flash setting.</t>
        </r>
      </text>
    </comment>
    <comment ref="I5" authorId="0">
      <text>
        <r>
          <rPr>
            <b/>
            <sz val="10"/>
            <color indexed="81"/>
            <rFont val="Tahoma"/>
            <family val="2"/>
          </rPr>
          <t>Date of the measurement</t>
        </r>
      </text>
    </comment>
    <comment ref="J5" authorId="0">
      <text>
        <r>
          <rPr>
            <b/>
            <sz val="10"/>
            <color indexed="81"/>
            <rFont val="Tahoma"/>
            <family val="2"/>
          </rPr>
          <t>Time of the Measurement</t>
        </r>
      </text>
    </comment>
    <comment ref="K5" authorId="1">
      <text>
        <r>
          <rPr>
            <b/>
            <sz val="10"/>
            <color indexed="81"/>
            <rFont val="Tahoma"/>
            <family val="2"/>
          </rPr>
          <t>Notes if data has been logged to summary file(s).  See Settings sheet for options.</t>
        </r>
      </text>
    </comment>
    <comment ref="A8" authorId="0">
      <text>
        <r>
          <rPr>
            <b/>
            <sz val="10"/>
            <color indexed="81"/>
            <rFont val="Tahoma"/>
            <family val="2"/>
          </rPr>
          <t>Lifetime of minority carriers at the specified MCD.
(Auger Corrected)</t>
        </r>
      </text>
    </comment>
    <comment ref="B8" authorId="0">
      <text>
        <r>
          <rPr>
            <b/>
            <sz val="10"/>
            <color indexed="81"/>
            <rFont val="Tahoma"/>
            <family val="2"/>
          </rPr>
          <t>Sheet resistivity of the entire wafer thickness.  If wafer is diffused, parallel combination of bulk and emitter diffusion.</t>
        </r>
      </text>
    </comment>
    <comment ref="C8" authorId="0">
      <text>
        <r>
          <rPr>
            <b/>
            <sz val="10"/>
            <color indexed="81"/>
            <rFont val="Tahoma"/>
            <family val="2"/>
          </rPr>
          <t>Measured wafer resistivity based on Ohm/sq and the width.  Only valid for wafers without diffusions.</t>
        </r>
      </text>
    </comment>
    <comment ref="D8" authorId="0">
      <text>
        <r>
          <rPr>
            <b/>
            <sz val="10"/>
            <color indexed="81"/>
            <rFont val="Tahoma"/>
            <family val="2"/>
          </rPr>
          <t>J0 as extracted from the slope of inverse lifetime vs MCD fit. The extracted J0 is related to the recombination in the heavily diffused regions (see user manual for more details)</t>
        </r>
      </text>
    </comment>
    <comment ref="E8" authorId="0">
      <text>
        <r>
          <rPr>
            <b/>
            <sz val="10"/>
            <color indexed="81"/>
            <rFont val="Tahoma"/>
            <family val="2"/>
          </rPr>
          <t>Fit intercept used to estimate bulk lifetime from the inverse lifetime vs MCD fit.  Only valid for wafers with diffusion.  It is usually different to the low level injection lifetime.</t>
        </r>
      </text>
    </comment>
    <comment ref="F8" authorId="0">
      <text>
        <r>
          <rPr>
            <b/>
            <sz val="10"/>
            <color indexed="81"/>
            <rFont val="Tahoma"/>
            <family val="2"/>
          </rPr>
          <t>Minimum Apparent Minority Carrier Density (MCD).</t>
        </r>
      </text>
    </comment>
    <comment ref="G8" authorId="1">
      <text>
        <r>
          <rPr>
            <b/>
            <sz val="10"/>
            <color indexed="81"/>
            <rFont val="Tahoma"/>
            <family val="2"/>
          </rPr>
          <t>Maximum Apparent Minority Carrier Density (MCD).</t>
        </r>
      </text>
    </comment>
    <comment ref="H8" authorId="0">
      <text>
        <r>
          <rPr>
            <b/>
            <sz val="10"/>
            <color indexed="81"/>
            <rFont val="Tahoma"/>
            <family val="2"/>
          </rPr>
          <t>Bias Point Carrier Density</t>
        </r>
      </text>
    </comment>
    <comment ref="I8" authorId="0">
      <text>
        <r>
          <rPr>
            <b/>
            <sz val="10"/>
            <color indexed="81"/>
            <rFont val="Tahoma"/>
            <family val="2"/>
          </rPr>
          <t>The density of electron-hole pairs with the equivalent conductance as the trap density.</t>
        </r>
        <r>
          <rPr>
            <sz val="8"/>
            <color indexed="81"/>
            <rFont val="Tahoma"/>
            <family val="2"/>
          </rPr>
          <t xml:space="preserve">
</t>
        </r>
      </text>
    </comment>
    <comment ref="J8" authorId="0">
      <text>
        <r>
          <rPr>
            <b/>
            <sz val="10"/>
            <color indexed="81"/>
            <rFont val="Tahoma"/>
            <family val="2"/>
          </rPr>
          <t>The wafer doping of the base region as calculated from the resistivity and dopant type.</t>
        </r>
      </text>
    </comment>
    <comment ref="K8" authorId="1">
      <text>
        <r>
          <rPr>
            <b/>
            <sz val="10"/>
            <color indexed="81"/>
            <rFont val="Tahoma"/>
            <family val="2"/>
          </rPr>
          <t>The Implied Voc at an intensity of 1 sun.  This value depends heavily on the input resistivity.</t>
        </r>
      </text>
    </comment>
    <comment ref="L8" authorId="1">
      <text>
        <r>
          <rPr>
            <b/>
            <sz val="10"/>
            <color indexed="81"/>
            <rFont val="Tahoma"/>
            <family val="2"/>
          </rPr>
          <t xml:space="preserve">How to Fix Error Messages:
1. </t>
        </r>
        <r>
          <rPr>
            <b/>
            <sz val="11"/>
            <color indexed="81"/>
            <rFont val="Tahoma"/>
            <family val="2"/>
          </rPr>
          <t>Saturated Reference Cell:</t>
        </r>
        <r>
          <rPr>
            <b/>
            <sz val="10"/>
            <color indexed="81"/>
            <rFont val="Tahoma"/>
            <family val="2"/>
          </rPr>
          <t xml:space="preserve"> Decrease peak light intensity by raising flash height or adding additional filters.  Data at lower MCD/intensit is still valid.
2. Choose Specified MCD within Data: The Specified MCD is not between the Min and Max MCD.  Ensure Sample and Analysis Parameters are correct and select Specified MCD between Min and Max MCD.  To reach higher Max MCD, increase illumination intensity.  To reach lower Min MCD, decrease illumination intensity or extend data acquisition time from Settings page.
3. </t>
        </r>
        <r>
          <rPr>
            <b/>
            <sz val="11"/>
            <color indexed="81"/>
            <rFont val="Tahoma"/>
            <family val="2"/>
          </rPr>
          <t>Re-Zero Instrument</t>
        </r>
        <r>
          <rPr>
            <b/>
            <sz val="10"/>
            <color indexed="81"/>
            <rFont val="Tahoma"/>
            <family val="2"/>
          </rPr>
          <t>: The "Zero Instrument" routine has not been run in the past 12 hours OR the air voltage is out of the normal range.  Remove samples from the instrument stage and press the "Zero Instrument" Button.
4. Choose Bias Light within Data: Select a light bias value within the range of measured illumination intensities.</t>
        </r>
      </text>
    </comment>
  </commentList>
</comments>
</file>

<file path=xl/comments2.xml><?xml version="1.0" encoding="utf-8"?>
<comments xmlns="http://schemas.openxmlformats.org/spreadsheetml/2006/main">
  <authors>
    <author>Adrienne Blum</author>
    <author>James Swirhun</author>
    <author xml:space="preserve"> </author>
    <author>Office</author>
  </authors>
  <commentList>
    <comment ref="B3" authorId="0">
      <text>
        <r>
          <rPr>
            <b/>
            <sz val="8"/>
            <color indexed="81"/>
            <rFont val="Tahoma"/>
            <family val="2"/>
          </rPr>
          <t xml:space="preserve">Instrument Type
</t>
        </r>
      </text>
    </comment>
    <comment ref="B4" authorId="1">
      <text>
        <r>
          <rPr>
            <b/>
            <sz val="8"/>
            <color indexed="81"/>
            <rFont val="Tahoma"/>
            <family val="2"/>
          </rPr>
          <t>Instrument Serial Number</t>
        </r>
      </text>
    </comment>
    <comment ref="F4" authorId="1">
      <text>
        <r>
          <rPr>
            <b/>
            <sz val="8"/>
            <color indexed="81"/>
            <rFont val="Tahoma"/>
            <family val="2"/>
          </rPr>
          <t>Save summary of measurement of to Excel summary File.  Location can be specified as file path, otherwise default is to save to same location as measurement file.</t>
        </r>
      </text>
    </comment>
    <comment ref="B5" authorId="2">
      <text>
        <r>
          <rPr>
            <b/>
            <sz val="8"/>
            <color indexed="81"/>
            <rFont val="Tahoma"/>
            <family val="2"/>
          </rPr>
          <t>Calibration constant of the reference  cell that measures the light intensity.  Do Not Change this Value.</t>
        </r>
      </text>
    </comment>
    <comment ref="F5" authorId="1">
      <text>
        <r>
          <rPr>
            <b/>
            <sz val="8"/>
            <color indexed="81"/>
            <rFont val="Tahoma"/>
            <family val="2"/>
          </rPr>
          <t>Save summary of measurement of to Text File.  Location can be specified as file path, otherwise default is to save to same location as measurement file.</t>
        </r>
      </text>
    </comment>
    <comment ref="B6" authorId="2">
      <text>
        <r>
          <rPr>
            <b/>
            <sz val="8"/>
            <color indexed="81"/>
            <rFont val="Tahoma"/>
            <family val="2"/>
          </rPr>
          <t xml:space="preserve">Calibration of the photoconductivity sensor.  </t>
        </r>
      </text>
    </comment>
    <comment ref="F6" authorId="1">
      <text>
        <r>
          <rPr>
            <b/>
            <sz val="8"/>
            <color indexed="81"/>
            <rFont val="Tahoma"/>
            <family val="2"/>
          </rPr>
          <t>Save summary of measurement of to Access Database.  Location can be specified as file path, otherwise default is to save to same location as measurement file.</t>
        </r>
      </text>
    </comment>
    <comment ref="F7" authorId="1">
      <text>
        <r>
          <rPr>
            <b/>
            <sz val="8"/>
            <color indexed="81"/>
            <rFont val="Tahoma"/>
            <family val="2"/>
          </rPr>
          <t xml:space="preserve">True to automatically save summary of each measurement to files specified above.  </t>
        </r>
      </text>
    </comment>
    <comment ref="F11" authorId="1">
      <text>
        <r>
          <rPr>
            <b/>
            <sz val="8"/>
            <color indexed="81"/>
            <rFont val="Tahoma"/>
            <family val="2"/>
          </rPr>
          <t>True to Automatically save a new Excel measurement file as SampleName.xlsm.</t>
        </r>
      </text>
    </comment>
    <comment ref="B13" authorId="2">
      <text>
        <r>
          <rPr>
            <b/>
            <sz val="8"/>
            <color indexed="81"/>
            <rFont val="Tahoma"/>
            <family val="2"/>
          </rPr>
          <t>Don't change this value</t>
        </r>
      </text>
    </comment>
    <comment ref="B14" authorId="2">
      <text>
        <r>
          <rPr>
            <b/>
            <sz val="8"/>
            <color indexed="81"/>
            <rFont val="Tahoma"/>
            <family val="2"/>
          </rPr>
          <t>Normally Set do DC.</t>
        </r>
      </text>
    </comment>
    <comment ref="F14" authorId="1">
      <text>
        <r>
          <rPr>
            <b/>
            <sz val="8"/>
            <color indexed="81"/>
            <rFont val="Tahoma"/>
            <family val="2"/>
          </rPr>
          <t>True to automatically rescale graphs after each measurement.</t>
        </r>
      </text>
    </comment>
    <comment ref="B15" authorId="3">
      <text>
        <r>
          <rPr>
            <b/>
            <sz val="8"/>
            <color indexed="81"/>
            <rFont val="Tahoma"/>
            <family val="2"/>
          </rPr>
          <t xml:space="preserve">For standard instrument = 1.  </t>
        </r>
      </text>
    </comment>
    <comment ref="B16" authorId="2">
      <text>
        <r>
          <rPr>
            <b/>
            <sz val="8"/>
            <color indexed="81"/>
            <rFont val="Tahoma"/>
            <family val="2"/>
          </rPr>
          <t xml:space="preserve">Fit will cover specified carrier density +/- Fit Range.
</t>
        </r>
      </text>
    </comment>
    <comment ref="F17" authorId="1">
      <text>
        <r>
          <rPr>
            <b/>
            <sz val="8"/>
            <color indexed="81"/>
            <rFont val="Tahoma"/>
            <family val="2"/>
          </rPr>
          <t>Set to TRUE to enable the "Taking Data" Screen.  False to just take a measurement without making adjustments.</t>
        </r>
      </text>
    </comment>
    <comment ref="F20" authorId="1">
      <text>
        <r>
          <rPr>
            <b/>
            <sz val="8"/>
            <color indexed="81"/>
            <rFont val="Tahoma"/>
            <family val="2"/>
          </rPr>
          <t xml:space="preserve">Initial Value for Average Function in "Taking Data" Window.  </t>
        </r>
      </text>
    </comment>
    <comment ref="F21" authorId="1">
      <text>
        <r>
          <rPr>
            <b/>
            <sz val="8"/>
            <color indexed="81"/>
            <rFont val="Tahoma"/>
            <family val="2"/>
          </rPr>
          <t>Time between consectutive flashes in Average mode for QSS measurements.  Must be set to 6 seconds for flash to recharge fully.</t>
        </r>
      </text>
    </comment>
    <comment ref="F22" authorId="1">
      <text>
        <r>
          <rPr>
            <b/>
            <sz val="8"/>
            <color indexed="81"/>
            <rFont val="Tahoma"/>
            <family val="2"/>
          </rPr>
          <t>Time between consectutive flashes in Average mode for Transient measurements.  Must be set to 0.3 seconds for flash to recharge fully at 1/64.</t>
        </r>
      </text>
    </comment>
    <comment ref="F25" authorId="1">
      <text>
        <r>
          <rPr>
            <b/>
            <sz val="8"/>
            <color indexed="81"/>
            <rFont val="Tahoma"/>
            <family val="2"/>
          </rPr>
          <t>+/- voltage range for the "Zero Instrument" routine.  Typically set to 1 volt.</t>
        </r>
      </text>
    </comment>
  </commentList>
</comments>
</file>

<file path=xl/sharedStrings.xml><?xml version="1.0" encoding="utf-8"?>
<sst xmlns="http://schemas.openxmlformats.org/spreadsheetml/2006/main" count="442" uniqueCount="357">
  <si>
    <t>Ohms/sq</t>
  </si>
  <si>
    <t>Ohm-cm</t>
  </si>
  <si>
    <t>Fit Range</t>
  </si>
  <si>
    <t>"Carrier density" at bias point</t>
  </si>
  <si>
    <t>Ref (suns)</t>
  </si>
  <si>
    <t>Generation (pairs/s)</t>
  </si>
  <si>
    <t>PCD with baseline shift.</t>
  </si>
  <si>
    <t>Suns near bias point</t>
  </si>
  <si>
    <t>Delta N</t>
  </si>
  <si>
    <t>DC</t>
  </si>
  <si>
    <t>Delta Suns</t>
  </si>
  <si>
    <t>Minority Carrier Density</t>
  </si>
  <si>
    <t>dn/dt</t>
  </si>
  <si>
    <t>Analysis Parameters</t>
  </si>
  <si>
    <t>Sample Name</t>
  </si>
  <si>
    <t>Date</t>
  </si>
  <si>
    <t>Doping (cm-3)</t>
  </si>
  <si>
    <t>Traps (equiv e-h pairs)</t>
  </si>
  <si>
    <t>If h-l-i data, then Jo (A/cm2)</t>
  </si>
  <si>
    <t>Time</t>
  </si>
  <si>
    <t>Optical Constant</t>
  </si>
  <si>
    <t>Max MCD</t>
  </si>
  <si>
    <t>Log to Summary</t>
  </si>
  <si>
    <t>Results of Measurement</t>
  </si>
  <si>
    <t>Ref cell (V/sun)</t>
  </si>
  <si>
    <t>Lifetime at Spec. MCD (µs)</t>
  </si>
  <si>
    <t>n-type</t>
  </si>
  <si>
    <t>Change row 2 to control what gets sent to the summary file</t>
  </si>
  <si>
    <t>Tau fit  @ -NA</t>
  </si>
  <si>
    <t>Jo (A/cm2) 25 C</t>
  </si>
  <si>
    <t>The headings in row 1 are for reference and have no effect on program operation</t>
  </si>
  <si>
    <t>Max suns</t>
  </si>
  <si>
    <t>Name</t>
  </si>
  <si>
    <t>Width</t>
  </si>
  <si>
    <t>Doping</t>
  </si>
  <si>
    <t>Analysis</t>
  </si>
  <si>
    <t>Lifetime</t>
  </si>
  <si>
    <t>Ohmsqr</t>
  </si>
  <si>
    <t>Ohmcm</t>
  </si>
  <si>
    <t>TauFit</t>
  </si>
  <si>
    <t>J0</t>
  </si>
  <si>
    <t>Row 10 is for updating an access database File Summary.mdb The names below must match the column headings in the db file.</t>
  </si>
  <si>
    <t>For both text files and database files only that data that has a heading below gets updates (see manual for more details)</t>
  </si>
  <si>
    <t>Traps</t>
  </si>
  <si>
    <t>Max Suns</t>
  </si>
  <si>
    <t>MaxSuns</t>
  </si>
  <si>
    <t>MaxMCD</t>
  </si>
  <si>
    <t>Conductivity increase</t>
  </si>
  <si>
    <t>Version</t>
  </si>
  <si>
    <t>dc</t>
  </si>
  <si>
    <t>Path name</t>
  </si>
  <si>
    <t>pcgain</t>
  </si>
  <si>
    <t>refgain</t>
  </si>
  <si>
    <t>basegain</t>
  </si>
  <si>
    <t>xfer</t>
  </si>
  <si>
    <t>Photovoltage</t>
  </si>
  <si>
    <t>Reference Voltage</t>
  </si>
  <si>
    <t>Flag marking autoexit</t>
  </si>
  <si>
    <t>Data frequency in us</t>
  </si>
  <si>
    <t>Frequency of AD-conversions</t>
  </si>
  <si>
    <t>Timeout in ms</t>
  </si>
  <si>
    <t>Pulse length in us</t>
  </si>
  <si>
    <t>Trigger level in volts</t>
  </si>
  <si>
    <t>Number of points to transfer to Excel</t>
  </si>
  <si>
    <t>Dark voltage average value</t>
  </si>
  <si>
    <t>Transient</t>
  </si>
  <si>
    <t>Gain last used on channel 0</t>
  </si>
  <si>
    <t>Gain last used on channel 1</t>
  </si>
  <si>
    <t>Gain last used on channel 2</t>
  </si>
  <si>
    <t>Gain last used on channel 3</t>
  </si>
  <si>
    <t>Maximum value measured on channel 0</t>
  </si>
  <si>
    <t>Maximum value measured on channel 1</t>
  </si>
  <si>
    <t>Maximum value measured on channel 2</t>
  </si>
  <si>
    <t>Maximum value measured on channel 3</t>
  </si>
  <si>
    <t>Flag for refcell normalization</t>
  </si>
  <si>
    <t>Flag for photoconductance normalization</t>
  </si>
  <si>
    <t>Flag for dark voltage subtraction</t>
  </si>
  <si>
    <t>Time in s between flashes</t>
  </si>
  <si>
    <t>Gain used for baseline measurement on ch 1</t>
  </si>
  <si>
    <t>Time in us for measuring baseline mean</t>
  </si>
  <si>
    <t>Flag for automatic flash</t>
  </si>
  <si>
    <t>Gain used for thermocouple measurement on ch 0</t>
  </si>
  <si>
    <t>time between flashes</t>
  </si>
  <si>
    <t>Thickness</t>
  </si>
  <si>
    <t>Do autoscale gains</t>
  </si>
  <si>
    <t>[Analysis parameters]</t>
  </si>
  <si>
    <t>Refcell constant</t>
  </si>
  <si>
    <t>Cal const A</t>
  </si>
  <si>
    <t>Cal const B</t>
  </si>
  <si>
    <t>Cal const C</t>
  </si>
  <si>
    <t>Area fraction</t>
  </si>
  <si>
    <t>Transmission fraction</t>
  </si>
  <si>
    <t>Light bias</t>
  </si>
  <si>
    <t>Wafer width</t>
  </si>
  <si>
    <t>MCD to evaluate tau</t>
  </si>
  <si>
    <t>Fit range</t>
  </si>
  <si>
    <t>Analysis type (0:QSS, 1:Trans, 2:Gen)</t>
  </si>
  <si>
    <t>Dopant type (0:p, 1:n)</t>
  </si>
  <si>
    <t>User-input resistivity</t>
  </si>
  <si>
    <t>Use lifetime limits</t>
  </si>
  <si>
    <t>Low lifetime limit</t>
  </si>
  <si>
    <t>High lifetime limit</t>
  </si>
  <si>
    <t>Use resistivity limits</t>
  </si>
  <si>
    <t>Low resistivity limit</t>
  </si>
  <si>
    <t>High resistivity limit</t>
  </si>
  <si>
    <t>Use trapping limits</t>
  </si>
  <si>
    <t>Low trapping limit</t>
  </si>
  <si>
    <t>High trapping limit</t>
  </si>
  <si>
    <t>Pass wafer on timeout</t>
  </si>
  <si>
    <t>TTL LOW width</t>
  </si>
  <si>
    <t>TTL HIGH width</t>
  </si>
  <si>
    <t>Use fixed density (0:yes, 1:no)</t>
  </si>
  <si>
    <t>Percent of max N</t>
  </si>
  <si>
    <t>[Communications]</t>
  </si>
  <si>
    <t>Use database</t>
  </si>
  <si>
    <t>Database location</t>
  </si>
  <si>
    <t>Semaphore location</t>
  </si>
  <si>
    <t>Autosave full data</t>
  </si>
  <si>
    <t>Autosave (full data) location</t>
  </si>
  <si>
    <t>Autosave stats</t>
  </si>
  <si>
    <t>Autosave (stats) location</t>
  </si>
  <si>
    <t>Autosave id (0:date, 1:lot)</t>
  </si>
  <si>
    <t>File suffix</t>
  </si>
  <si>
    <t>File suffix for lotIDs</t>
  </si>
  <si>
    <t>Current date string</t>
  </si>
  <si>
    <t>Current lot ID</t>
  </si>
  <si>
    <t>Current lot start index</t>
  </si>
  <si>
    <t>Current lot end index</t>
  </si>
  <si>
    <t>Current recipe name</t>
  </si>
  <si>
    <t>[Instrument constants]</t>
  </si>
  <si>
    <t>Generalized</t>
  </si>
  <si>
    <t>The row above (row 2) is copied to summary.xlsm when the user presses the "log data to summary" button.</t>
  </si>
  <si>
    <t>Auger_coef_used</t>
  </si>
  <si>
    <t xml:space="preserve"> 1.0default</t>
  </si>
  <si>
    <t>Default_recipe_path</t>
  </si>
  <si>
    <t>Primary refcell constant</t>
  </si>
  <si>
    <t>Secondary refcell constant</t>
  </si>
  <si>
    <t>Analysis Mode</t>
  </si>
  <si>
    <t>Sample Parameters</t>
  </si>
  <si>
    <t>Wafer Thickness (cm)</t>
  </si>
  <si>
    <t>Wafer Lifetime Measurement Software</t>
  </si>
  <si>
    <t>Measurement Details</t>
  </si>
  <si>
    <t>Lifetime Data Acquisition and Analysis</t>
  </si>
  <si>
    <t>Resistivity (Ω-cm)</t>
  </si>
  <si>
    <t>Summary Log Settings</t>
  </si>
  <si>
    <t>Instrument Calibration</t>
  </si>
  <si>
    <t>Serial Number</t>
  </si>
  <si>
    <t>A</t>
  </si>
  <si>
    <t>B</t>
  </si>
  <si>
    <t>C</t>
  </si>
  <si>
    <t>Illuminated Area Fraction</t>
  </si>
  <si>
    <t>Auger Coefficient</t>
  </si>
  <si>
    <t>Bias Light (suns)</t>
  </si>
  <si>
    <t>When user clicks on Summary button, send the results to the following files</t>
  </si>
  <si>
    <t>Coupling Mode</t>
  </si>
  <si>
    <t>Dark Voltage</t>
  </si>
  <si>
    <t>Sheet rho Ohms/sq</t>
  </si>
  <si>
    <t>ResistivityOhm-cm</t>
  </si>
  <si>
    <t>Apparent CD In Range</t>
  </si>
  <si>
    <t>Tau In Range</t>
  </si>
  <si>
    <t>1/Tau Fit Slope</t>
  </si>
  <si>
    <t>1/Tau Fit Intercept</t>
  </si>
  <si>
    <t>1/Tau Fit</t>
  </si>
  <si>
    <t>CD near bias point</t>
  </si>
  <si>
    <t>Apparent CD</t>
  </si>
  <si>
    <t>1/Tau - Auger</t>
  </si>
  <si>
    <t>Tau (sec)</t>
  </si>
  <si>
    <t>Max Apparent CD</t>
  </si>
  <si>
    <t>Fit Range Min</t>
  </si>
  <si>
    <t>Fit Range Max</t>
  </si>
  <si>
    <t xml:space="preserve">Time of Max Apparent CD </t>
  </si>
  <si>
    <t>Min Apparent CD</t>
  </si>
  <si>
    <t xml:space="preserve">PC at Time of Max Apparent CD </t>
  </si>
  <si>
    <t>SpecMCD - Traps</t>
  </si>
  <si>
    <t>Implied Voc @ 1 sun</t>
  </si>
  <si>
    <t>Text Labels</t>
  </si>
  <si>
    <t>Spec MCD</t>
  </si>
  <si>
    <r>
      <t>cm</t>
    </r>
    <r>
      <rPr>
        <vertAlign val="superscript"/>
        <sz val="10"/>
        <rFont val="Arial"/>
        <family val="2"/>
      </rPr>
      <t>-3</t>
    </r>
  </si>
  <si>
    <t>µs</t>
  </si>
  <si>
    <t>Acceptance Parameters</t>
  </si>
  <si>
    <t>Enable Pass/Fail Message</t>
  </si>
  <si>
    <t>Minimum Lifetime (us)</t>
  </si>
  <si>
    <t>Maximum Lifetime (us)</t>
  </si>
  <si>
    <t>Pass or Fail</t>
  </si>
  <si>
    <t>Thickness (cm)</t>
  </si>
  <si>
    <t>Autosave Settings</t>
  </si>
  <si>
    <t>Air Voltage</t>
  </si>
  <si>
    <t>Baseline Air Voltage Measurements</t>
  </si>
  <si>
    <t>Gain Setting</t>
  </si>
  <si>
    <t>Voltage Range (V)</t>
  </si>
  <si>
    <t>Measurement Date</t>
  </si>
  <si>
    <t>Measurement Time</t>
  </si>
  <si>
    <r>
      <t>Wafer Doping (cm</t>
    </r>
    <r>
      <rPr>
        <b/>
        <vertAlign val="superscript"/>
        <sz val="8"/>
        <rFont val="Arial"/>
        <family val="2"/>
      </rPr>
      <t>-3</t>
    </r>
    <r>
      <rPr>
        <b/>
        <sz val="8"/>
        <rFont val="Arial"/>
        <family val="2"/>
      </rPr>
      <t>)</t>
    </r>
  </si>
  <si>
    <t>Specified MCD</t>
  </si>
  <si>
    <t>Light Bias (Suns)</t>
  </si>
  <si>
    <t>Lifetime at Spec. MCD</t>
  </si>
  <si>
    <t>Calibration A</t>
  </si>
  <si>
    <t>Calibration B</t>
  </si>
  <si>
    <t>Calibration C</t>
  </si>
  <si>
    <t>Ref Cell Cal Const</t>
  </si>
  <si>
    <t>OptConst</t>
  </si>
  <si>
    <t>SpecMCD</t>
  </si>
  <si>
    <t>BiasLight</t>
  </si>
  <si>
    <t>RefCellCal</t>
  </si>
  <si>
    <t>Acal</t>
  </si>
  <si>
    <t>Bcal</t>
  </si>
  <si>
    <t>Ccal</t>
  </si>
  <si>
    <t>InstrumentSN</t>
  </si>
  <si>
    <t>Instrument Serial Number</t>
  </si>
  <si>
    <t>Selection Options</t>
  </si>
  <si>
    <t>QSS</t>
  </si>
  <si>
    <t>p-type</t>
  </si>
  <si>
    <t>Parameter</t>
  </si>
  <si>
    <t>Value</t>
  </si>
  <si>
    <t>Flag String</t>
  </si>
  <si>
    <t>Air Voltage (ZeroCoil)</t>
  </si>
  <si>
    <t>Air Voltage Input Range (Volts +/-)</t>
  </si>
  <si>
    <t>Cal Command</t>
  </si>
  <si>
    <t>Measure Command</t>
  </si>
  <si>
    <t>Raw Data Graph Points</t>
  </si>
  <si>
    <t>PC Gain</t>
  </si>
  <si>
    <t>Ref Gain</t>
  </si>
  <si>
    <t>Upper Bound</t>
  </si>
  <si>
    <t>Lower Bound</t>
  </si>
  <si>
    <t>Zoom Indicators</t>
  </si>
  <si>
    <t>Max Voltage</t>
  </si>
  <si>
    <t>Lower Bound Percentage</t>
  </si>
  <si>
    <t>num flashes for averaging</t>
  </si>
  <si>
    <t>Number of Flashes to average (initial value)</t>
  </si>
  <si>
    <t xml:space="preserve">Delay between flashes QSS (sec) </t>
  </si>
  <si>
    <t xml:space="preserve">Delay between flashes Transient (sec) </t>
  </si>
  <si>
    <t>Averaging Settings</t>
  </si>
  <si>
    <t>Baseline Voltage Range</t>
  </si>
  <si>
    <t>automatically Log results to specified summary files after each measurement</t>
  </si>
  <si>
    <t>Sample Time</t>
  </si>
  <si>
    <t>Automatically Rescale Graphs after each measurement</t>
  </si>
  <si>
    <t>Rescale Setting</t>
  </si>
  <si>
    <t>Show Taking Data Window Setting</t>
  </si>
  <si>
    <t>Show the Taking Data window during measurement</t>
  </si>
  <si>
    <t># of taus beyond 150mV</t>
  </si>
  <si>
    <t>Index_of_flashmode</t>
  </si>
  <si>
    <t>Signal Clipped (Zoom Out)</t>
  </si>
  <si>
    <t>Signal Low (Zoom In)</t>
  </si>
  <si>
    <t>Error Messages</t>
  </si>
  <si>
    <r>
      <t>Specified MCD (cm</t>
    </r>
    <r>
      <rPr>
        <b/>
        <vertAlign val="superscript"/>
        <sz val="12"/>
        <rFont val="Arial"/>
        <family val="2"/>
      </rPr>
      <t>-3</t>
    </r>
    <r>
      <rPr>
        <b/>
        <sz val="12"/>
        <rFont val="Arial"/>
        <family val="2"/>
      </rPr>
      <t>)</t>
    </r>
  </si>
  <si>
    <r>
      <t>Sheet Resistance (</t>
    </r>
    <r>
      <rPr>
        <sz val="12"/>
        <rFont val="Calibri"/>
        <family val="2"/>
      </rPr>
      <t>Ω</t>
    </r>
    <r>
      <rPr>
        <b/>
        <sz val="12"/>
        <rFont val="Arial"/>
        <family val="2"/>
      </rPr>
      <t>/sq)</t>
    </r>
  </si>
  <si>
    <r>
      <t>Measured Resistivity (</t>
    </r>
    <r>
      <rPr>
        <sz val="12"/>
        <rFont val="Arial"/>
        <family val="2"/>
      </rPr>
      <t>Ω</t>
    </r>
    <r>
      <rPr>
        <b/>
        <sz val="12"/>
        <rFont val="Arial"/>
        <family val="2"/>
      </rPr>
      <t>-cm)</t>
    </r>
  </si>
  <si>
    <r>
      <t>J0 (A/cm</t>
    </r>
    <r>
      <rPr>
        <b/>
        <vertAlign val="superscript"/>
        <sz val="12"/>
        <rFont val="Arial"/>
        <family val="2"/>
      </rPr>
      <t>2</t>
    </r>
    <r>
      <rPr>
        <b/>
        <sz val="12"/>
        <rFont val="Arial"/>
        <family val="2"/>
      </rPr>
      <t>)</t>
    </r>
  </si>
  <si>
    <r>
      <t>Min MCD (cm</t>
    </r>
    <r>
      <rPr>
        <b/>
        <vertAlign val="superscript"/>
        <sz val="12"/>
        <rFont val="Arial"/>
        <family val="2"/>
      </rPr>
      <t>-3</t>
    </r>
    <r>
      <rPr>
        <b/>
        <sz val="12"/>
        <rFont val="Arial"/>
        <family val="2"/>
      </rPr>
      <t>)</t>
    </r>
  </si>
  <si>
    <r>
      <t>Max MCD (cm</t>
    </r>
    <r>
      <rPr>
        <b/>
        <vertAlign val="superscript"/>
        <sz val="12"/>
        <rFont val="Arial"/>
        <family val="2"/>
      </rPr>
      <t>-3</t>
    </r>
    <r>
      <rPr>
        <b/>
        <sz val="12"/>
        <rFont val="Arial"/>
        <family val="2"/>
      </rPr>
      <t>)</t>
    </r>
  </si>
  <si>
    <r>
      <t>Bias point CD (cm</t>
    </r>
    <r>
      <rPr>
        <b/>
        <vertAlign val="superscript"/>
        <sz val="12"/>
        <rFont val="Arial"/>
        <family val="2"/>
      </rPr>
      <t>-3</t>
    </r>
    <r>
      <rPr>
        <b/>
        <sz val="12"/>
        <rFont val="Arial"/>
        <family val="2"/>
      </rPr>
      <t>)</t>
    </r>
  </si>
  <si>
    <r>
      <t>Trap Density (cm</t>
    </r>
    <r>
      <rPr>
        <b/>
        <vertAlign val="superscript"/>
        <sz val="12"/>
        <rFont val="Arial"/>
        <family val="2"/>
      </rPr>
      <t>-3</t>
    </r>
    <r>
      <rPr>
        <b/>
        <sz val="12"/>
        <rFont val="Arial"/>
        <family val="2"/>
      </rPr>
      <t>)</t>
    </r>
  </si>
  <si>
    <r>
      <t>Doping
 (cm</t>
    </r>
    <r>
      <rPr>
        <b/>
        <vertAlign val="superscript"/>
        <sz val="12"/>
        <rFont val="Arial"/>
        <family val="2"/>
      </rPr>
      <t>-3</t>
    </r>
    <r>
      <rPr>
        <b/>
        <sz val="12"/>
        <rFont val="Arial"/>
        <family val="2"/>
      </rPr>
      <t>)</t>
    </r>
  </si>
  <si>
    <t>Sat. Ref Cell</t>
  </si>
  <si>
    <t>MCD out of Range</t>
  </si>
  <si>
    <t>Light Bias out of Range</t>
  </si>
  <si>
    <t xml:space="preserve"> </t>
  </si>
  <si>
    <t>Pulse Length</t>
  </si>
  <si>
    <t>Time Scale Flags</t>
  </si>
  <si>
    <t>Sample Type</t>
  </si>
  <si>
    <t>Fit Intercept (µs)</t>
  </si>
  <si>
    <t>Automatically save file after each measurement</t>
  </si>
  <si>
    <r>
      <t>QSS/Generalized Mode Acquisition Time (</t>
    </r>
    <r>
      <rPr>
        <b/>
        <sz val="10"/>
        <rFont val="Calibri"/>
        <family val="2"/>
      </rPr>
      <t>µ</t>
    </r>
    <r>
      <rPr>
        <b/>
        <sz val="10"/>
        <rFont val="Arial"/>
        <family val="2"/>
      </rPr>
      <t>s)</t>
    </r>
  </si>
  <si>
    <t>Transient Mode Total Acquisition Time (µs)</t>
  </si>
  <si>
    <t xml:space="preserve">Transient Mode # of Taus Beyond 150mV </t>
  </si>
  <si>
    <t>Data Acquisition Time Scale Settings</t>
  </si>
  <si>
    <t>Date and Time of Last "Zero Instrument"</t>
  </si>
  <si>
    <t>1 sun Implied Voc (V)</t>
  </si>
  <si>
    <t>MCD at 0.6V Ref Cell</t>
  </si>
  <si>
    <t>MCD for Ref Cell&gt;0.6V</t>
  </si>
  <si>
    <t>Max Valid MCD</t>
  </si>
  <si>
    <t>Air Voltage Stdev</t>
  </si>
  <si>
    <t>1 Sun Implied Voc</t>
  </si>
  <si>
    <t>1SunImpVoc</t>
  </si>
  <si>
    <t>Offset = Air-C</t>
  </si>
  <si>
    <t>Instument Type</t>
  </si>
  <si>
    <t>WCT-120</t>
  </si>
  <si>
    <t>Results:</t>
  </si>
  <si>
    <t>Result Description</t>
  </si>
  <si>
    <t>Symbolic</t>
  </si>
  <si>
    <t>Units</t>
  </si>
  <si>
    <t>Measured effective lifetime</t>
  </si>
  <si>
    <t>carrier density range</t>
  </si>
  <si>
    <t xml:space="preserve">     Surface recombination</t>
  </si>
  <si>
    <t>S</t>
  </si>
  <si>
    <t>Sample Parameters:</t>
  </si>
  <si>
    <t>Parameter Description</t>
  </si>
  <si>
    <t>Sample ID</t>
  </si>
  <si>
    <t>-</t>
  </si>
  <si>
    <t>Sample thickness</t>
  </si>
  <si>
    <t>w</t>
  </si>
  <si>
    <t>cm</t>
  </si>
  <si>
    <t>Sample temperature</t>
  </si>
  <si>
    <t>T</t>
  </si>
  <si>
    <t>Doping concentration</t>
  </si>
  <si>
    <t>Doping type</t>
  </si>
  <si>
    <t>n/p</t>
  </si>
  <si>
    <t>Surface passivation, front and back</t>
  </si>
  <si>
    <t>Defect state:</t>
  </si>
  <si>
    <t xml:space="preserve">     Fe dissociation level</t>
  </si>
  <si>
    <t xml:space="preserve">     B:O degradation level</t>
  </si>
  <si>
    <t>Measurement type:</t>
  </si>
  <si>
    <t>Quasi-steady-state (QSS)</t>
  </si>
  <si>
    <t>Excitation wavelengths/frequencies (file)</t>
  </si>
  <si>
    <t>Trapping or DRM correction [if any]</t>
  </si>
  <si>
    <t>Instrument parameters:</t>
  </si>
  <si>
    <t>Instrument model &amp; software version</t>
  </si>
  <si>
    <t xml:space="preserve">Instrument Serial Number </t>
  </si>
  <si>
    <t>Light time profile</t>
  </si>
  <si>
    <t xml:space="preserve">     Calibration of photogeneration</t>
  </si>
  <si>
    <t>Sensor type</t>
  </si>
  <si>
    <t>Eddy Current</t>
  </si>
  <si>
    <t>Detection area</t>
  </si>
  <si>
    <t xml:space="preserve">     Area</t>
  </si>
  <si>
    <t xml:space="preserve">     Number of points</t>
  </si>
  <si>
    <t>1, center</t>
  </si>
  <si>
    <t>Time (s)</t>
  </si>
  <si>
    <r>
      <rPr>
        <sz val="9"/>
        <rFont val="Cambria"/>
        <family val="1"/>
      </rPr>
      <t>τ</t>
    </r>
    <r>
      <rPr>
        <vertAlign val="subscript"/>
        <sz val="9"/>
        <rFont val="Cambria"/>
        <family val="1"/>
      </rPr>
      <t>eff</t>
    </r>
  </si>
  <si>
    <r>
      <rPr>
        <sz val="9"/>
        <rFont val="Calibri"/>
        <family val="2"/>
      </rPr>
      <t>µ</t>
    </r>
    <r>
      <rPr>
        <sz val="9"/>
        <rFont val="Arial"/>
        <family val="2"/>
      </rPr>
      <t>s</t>
    </r>
  </si>
  <si>
    <r>
      <rPr>
        <sz val="9"/>
        <rFont val="Calibri"/>
        <family val="2"/>
      </rPr>
      <t>Δ</t>
    </r>
    <r>
      <rPr>
        <sz val="9"/>
        <rFont val="Arial"/>
        <family val="2"/>
      </rPr>
      <t>n</t>
    </r>
  </si>
  <si>
    <r>
      <t>cm</t>
    </r>
    <r>
      <rPr>
        <vertAlign val="superscript"/>
        <sz val="9"/>
        <rFont val="Arial"/>
        <family val="2"/>
      </rPr>
      <t>-3</t>
    </r>
  </si>
  <si>
    <r>
      <t>cm</t>
    </r>
    <r>
      <rPr>
        <vertAlign val="superscript"/>
        <sz val="9"/>
        <rFont val="Arial"/>
        <family val="2"/>
      </rPr>
      <t>2</t>
    </r>
    <r>
      <rPr>
        <sz val="9"/>
        <rFont val="Arial"/>
        <family val="2"/>
      </rPr>
      <t>/s</t>
    </r>
  </si>
  <si>
    <r>
      <t>τ</t>
    </r>
    <r>
      <rPr>
        <vertAlign val="subscript"/>
        <sz val="9"/>
        <rFont val="Cambria"/>
        <family val="1"/>
      </rPr>
      <t>bulk</t>
    </r>
  </si>
  <si>
    <r>
      <t>J</t>
    </r>
    <r>
      <rPr>
        <vertAlign val="subscript"/>
        <sz val="9"/>
        <rFont val="Arial"/>
        <family val="2"/>
      </rPr>
      <t>oe</t>
    </r>
  </si>
  <si>
    <r>
      <t>A/cm</t>
    </r>
    <r>
      <rPr>
        <vertAlign val="superscript"/>
        <sz val="9"/>
        <rFont val="Arial"/>
        <family val="2"/>
      </rPr>
      <t>2</t>
    </r>
  </si>
  <si>
    <r>
      <rPr>
        <sz val="9"/>
        <rFont val="Calibri"/>
        <family val="2"/>
      </rPr>
      <t>⁰</t>
    </r>
    <r>
      <rPr>
        <sz val="9"/>
        <rFont val="Arial"/>
        <family val="2"/>
      </rPr>
      <t>C</t>
    </r>
  </si>
  <si>
    <r>
      <t>N</t>
    </r>
    <r>
      <rPr>
        <vertAlign val="subscript"/>
        <sz val="9"/>
        <rFont val="Arial"/>
        <family val="2"/>
      </rPr>
      <t xml:space="preserve">A </t>
    </r>
    <r>
      <rPr>
        <sz val="9"/>
        <rFont val="Arial"/>
        <family val="2"/>
      </rPr>
      <t>(N</t>
    </r>
    <r>
      <rPr>
        <vertAlign val="subscript"/>
        <sz val="9"/>
        <rFont val="Arial"/>
        <family val="2"/>
      </rPr>
      <t>D</t>
    </r>
    <r>
      <rPr>
        <sz val="9"/>
        <rFont val="Arial"/>
        <family val="2"/>
      </rPr>
      <t>)</t>
    </r>
  </si>
  <si>
    <r>
      <t xml:space="preserve">     Calibration to </t>
    </r>
    <r>
      <rPr>
        <sz val="9"/>
        <rFont val="Calibri"/>
        <family val="2"/>
      </rPr>
      <t>Δ</t>
    </r>
    <r>
      <rPr>
        <i/>
        <sz val="9"/>
        <rFont val="Arial"/>
        <family val="2"/>
      </rPr>
      <t>n, including mobility model</t>
    </r>
  </si>
  <si>
    <r>
      <t>cm</t>
    </r>
    <r>
      <rPr>
        <vertAlign val="superscript"/>
        <sz val="9"/>
        <rFont val="Arial"/>
        <family val="2"/>
      </rPr>
      <t>2</t>
    </r>
  </si>
  <si>
    <t>V/sun</t>
  </si>
  <si>
    <t xml:space="preserve">     Method of averaging [if any]</t>
  </si>
  <si>
    <t>4.3</t>
  </si>
  <si>
    <t>Time in s</t>
  </si>
  <si>
    <t>© Sinton Instruments 2012</t>
  </si>
  <si>
    <t>Interpretation parameters:</t>
  </si>
  <si>
    <t xml:space="preserve">     Bulk lifetime</t>
  </si>
  <si>
    <t xml:space="preserve">     Emitter saturation current</t>
  </si>
  <si>
    <t>Implied Suns</t>
  </si>
  <si>
    <t>Implied Voc</t>
  </si>
  <si>
    <t>Tau (auger corrected) @ specMCD (µs)</t>
  </si>
  <si>
    <r>
      <t>Tau fit (µs) (intercept @ -N</t>
    </r>
    <r>
      <rPr>
        <b/>
        <vertAlign val="subscript"/>
        <sz val="9"/>
        <rFont val="Arial"/>
        <family val="2"/>
      </rPr>
      <t>A</t>
    </r>
    <r>
      <rPr>
        <b/>
        <sz val="9"/>
        <rFont val="Arial"/>
        <family val="2"/>
      </rPr>
      <t>)</t>
    </r>
  </si>
  <si>
    <t>Tau (auger corrected) @ specMCD (s)</t>
  </si>
  <si>
    <t>1/Tau (auger corrected) @ specMCD</t>
  </si>
  <si>
    <t>1/Tau (auger corrected) Fit Slope</t>
  </si>
  <si>
    <t>1/Tau (auger corrected) Fit Intercept</t>
  </si>
  <si>
    <t>1/Tau in Range</t>
  </si>
  <si>
    <r>
      <t>Tau @ specMCD (</t>
    </r>
    <r>
      <rPr>
        <b/>
        <sz val="9"/>
        <rFont val="Calibri"/>
        <family val="2"/>
      </rPr>
      <t>μ</t>
    </r>
    <r>
      <rPr>
        <b/>
        <sz val="9"/>
        <rFont val="Arial"/>
        <family val="2"/>
      </rPr>
      <t>s)</t>
    </r>
  </si>
  <si>
    <t>1/Tau - Auger In Range</t>
  </si>
  <si>
    <r>
      <t>Tau @ specMCD (</t>
    </r>
    <r>
      <rPr>
        <b/>
        <sz val="9"/>
        <rFont val="Arial"/>
        <family val="2"/>
      </rPr>
      <t>s)</t>
    </r>
  </si>
  <si>
    <t>C:\SintonInstruments\LifetimeSummaryData\summary.xlsm</t>
  </si>
  <si>
    <t>C:\SintonInstruments\LifetimeSummaryData\summary.txt</t>
  </si>
  <si>
    <t>C:\SintonInstruments\LifetimeSummaryData\summary.accdb</t>
  </si>
  <si>
    <t>C:\lifetime\lifetime.exe /subbase=2 /basetime_us=20000</t>
  </si>
  <si>
    <t>SEMI PV13 Recombination Lifetime Report</t>
  </si>
  <si>
    <t>=1.0default</t>
  </si>
  <si>
    <t>Logged</t>
  </si>
  <si>
    <t>jun-dq07</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</si>
</sst>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0000"/>
    <numFmt numFmtId="165" formatCode="0.0000"/>
    <numFmt numFmtId="166" formatCode="0.0"/>
    <numFmt numFmtId="167" formatCode="0.0E+00"/>
    <numFmt numFmtId="168" formatCode="0.000"/>
    <numFmt numFmtId="169" formatCode="dd\-mmm\-yy"/>
    <numFmt numFmtId="170" formatCode="[$-F400]h:mm:ss\ AM/PM"/>
    <numFmt numFmtId="171" formatCode="0.000E+00"/>
  </numFmts>
  <fonts count="43" x14ac:knownFonts="1">
    <font>
      <sz val="10"/>
      <name val="Arial"/>
      <family val="2"/>
    </font>
    <font>
      <sz val="10"/>
      <name val="Arial"/>
      <family val="2"/>
    </font>
    <font>
      <b/>
      <sz val="10"/>
      <name val="Arial"/>
      <family val="2"/>
    </font>
    <font>
      <b/>
      <sz val="12"/>
      <name val="Arial"/>
      <family val="2"/>
    </font>
    <font>
      <b/>
      <sz val="10"/>
      <color indexed="8"/>
      <name val="Arial"/>
      <family val="2"/>
    </font>
    <font>
      <sz val="8"/>
      <name val="Arial"/>
      <family val="2"/>
    </font>
    <font>
      <sz val="10"/>
      <name val="Arial"/>
      <family val="2"/>
    </font>
    <font>
      <b/>
      <sz val="10"/>
      <color indexed="12"/>
      <name val="Arial"/>
      <family val="2"/>
    </font>
    <font>
      <b/>
      <sz val="8"/>
      <name val="Arial"/>
      <family val="2"/>
    </font>
    <font>
      <b/>
      <sz val="8"/>
      <color indexed="81"/>
      <name val="Tahoma"/>
      <family val="2"/>
    </font>
    <font>
      <sz val="8"/>
      <color indexed="81"/>
      <name val="Tahoma"/>
      <family val="2"/>
    </font>
    <font>
      <b/>
      <sz val="10"/>
      <color indexed="10"/>
      <name val="Arial"/>
      <family val="2"/>
    </font>
    <font>
      <sz val="10"/>
      <color theme="3" tint="0.39997558519241921"/>
      <name val="Arial"/>
      <family val="2"/>
    </font>
    <font>
      <b/>
      <sz val="11"/>
      <name val="Arial"/>
      <family val="2"/>
    </font>
    <font>
      <b/>
      <sz val="10"/>
      <color rgb="FFFF0000"/>
      <name val="Arial"/>
      <family val="2"/>
    </font>
    <font>
      <b/>
      <sz val="20"/>
      <name val="Arial"/>
      <family val="2"/>
    </font>
    <font>
      <sz val="20"/>
      <color rgb="FF00B050"/>
      <name val="Arial"/>
      <family val="2"/>
    </font>
    <font>
      <vertAlign val="superscript"/>
      <sz val="10"/>
      <name val="Arial"/>
      <family val="2"/>
    </font>
    <font>
      <sz val="10"/>
      <name val="Calibri"/>
      <family val="2"/>
    </font>
    <font>
      <b/>
      <vertAlign val="superscript"/>
      <sz val="8"/>
      <name val="Arial"/>
      <family val="2"/>
    </font>
    <font>
      <b/>
      <sz val="12"/>
      <color rgb="FF2004EC"/>
      <name val="Arial"/>
      <family val="2"/>
    </font>
    <font>
      <b/>
      <vertAlign val="superscript"/>
      <sz val="12"/>
      <name val="Arial"/>
      <family val="2"/>
    </font>
    <font>
      <sz val="12"/>
      <name val="Calibri"/>
      <family val="2"/>
    </font>
    <font>
      <sz val="12"/>
      <name val="Arial"/>
      <family val="2"/>
    </font>
    <font>
      <b/>
      <sz val="10"/>
      <color indexed="81"/>
      <name val="Tahoma"/>
      <family val="2"/>
    </font>
    <font>
      <b/>
      <sz val="10"/>
      <color indexed="10"/>
      <name val="Tahoma"/>
      <family val="2"/>
    </font>
    <font>
      <b/>
      <sz val="12"/>
      <color rgb="FFFF0000"/>
      <name val="Arial"/>
      <family val="2"/>
    </font>
    <font>
      <b/>
      <sz val="10"/>
      <color rgb="FF2004EC"/>
      <name val="Arial"/>
      <family val="2"/>
    </font>
    <font>
      <b/>
      <sz val="10"/>
      <name val="Calibri"/>
      <family val="2"/>
    </font>
    <font>
      <b/>
      <sz val="11"/>
      <color indexed="81"/>
      <name val="Tahoma"/>
      <family val="2"/>
    </font>
    <font>
      <b/>
      <sz val="11"/>
      <color rgb="FFFF0000"/>
      <name val="Arial"/>
      <family val="2"/>
    </font>
    <font>
      <b/>
      <sz val="9"/>
      <name val="Arial"/>
      <family val="2"/>
    </font>
    <font>
      <sz val="9"/>
      <name val="Arial"/>
      <family val="2"/>
    </font>
    <font>
      <vertAlign val="subscript"/>
      <sz val="9"/>
      <name val="Cambria"/>
      <family val="1"/>
    </font>
    <font>
      <sz val="9"/>
      <name val="Cambria"/>
      <family val="1"/>
    </font>
    <font>
      <sz val="9"/>
      <name val="Calibri"/>
      <family val="2"/>
    </font>
    <font>
      <vertAlign val="superscript"/>
      <sz val="9"/>
      <name val="Arial"/>
      <family val="2"/>
    </font>
    <font>
      <i/>
      <sz val="9"/>
      <name val="Arial"/>
      <family val="2"/>
    </font>
    <font>
      <vertAlign val="subscript"/>
      <sz val="9"/>
      <name val="Arial"/>
      <family val="2"/>
    </font>
    <font>
      <b/>
      <sz val="10"/>
      <color rgb="FF000000"/>
      <name val="Arial"/>
      <family val="2"/>
    </font>
    <font>
      <b/>
      <sz val="12"/>
      <color rgb="FF6D6D6D"/>
      <name val="Myriad Pro Light"/>
      <family val="2"/>
    </font>
    <font>
      <b/>
      <vertAlign val="subscript"/>
      <sz val="9"/>
      <name val="Arial"/>
      <family val="2"/>
    </font>
    <font>
      <b/>
      <sz val="9"/>
      <name val="Calibri"/>
      <family val="2"/>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s>
  <borders count="16">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s>
  <cellStyleXfs count="2">
    <xf numFmtId="0" fontId="0" fillId="0" borderId="0"/>
    <xf numFmtId="0" fontId="1" fillId="0" borderId="0"/>
  </cellStyleXfs>
  <cellXfs count="310">
    <xf numFmtId="0" fontId="0" fillId="0" borderId="0" xfId="0"/>
    <xf numFmtId="0" fontId="2" fillId="0" borderId="0" xfId="0" applyFont="1"/>
    <xf numFmtId="11" fontId="2" fillId="0" borderId="0" xfId="0" applyNumberFormat="1" applyFont="1"/>
    <xf numFmtId="0" fontId="2" fillId="0" borderId="0" xfId="0" applyFont="1" applyFill="1" applyBorder="1" applyAlignment="1" applyProtection="1">
      <alignment horizontal="center" wrapText="1"/>
    </xf>
    <xf numFmtId="0" fontId="2" fillId="0" borderId="0" xfId="0" applyFont="1" applyBorder="1" applyProtection="1"/>
    <xf numFmtId="0" fontId="2" fillId="0" borderId="0" xfId="0" applyFont="1" applyBorder="1"/>
    <xf numFmtId="0" fontId="2" fillId="0" borderId="0" xfId="0" applyFont="1" applyBorder="1" applyAlignment="1" applyProtection="1">
      <alignment horizontal="left"/>
    </xf>
    <xf numFmtId="14" fontId="2" fillId="0" borderId="0" xfId="0" applyNumberFormat="1" applyFont="1" applyBorder="1" applyAlignment="1" applyProtection="1">
      <alignment horizontal="centerContinuous"/>
    </xf>
    <xf numFmtId="0" fontId="2" fillId="0" borderId="0" xfId="0" applyFont="1" applyBorder="1" applyAlignment="1" applyProtection="1">
      <alignment horizontal="centerContinuous"/>
    </xf>
    <xf numFmtId="0" fontId="2" fillId="2" borderId="0" xfId="0" applyFont="1" applyFill="1" applyBorder="1" applyProtection="1"/>
    <xf numFmtId="0" fontId="2" fillId="2" borderId="0" xfId="0" applyFont="1" applyFill="1" applyBorder="1" applyAlignment="1" applyProtection="1">
      <alignment horizontal="left"/>
    </xf>
    <xf numFmtId="0" fontId="2" fillId="0" borderId="0" xfId="0" applyFont="1" applyFill="1" applyBorder="1" applyProtection="1"/>
    <xf numFmtId="0" fontId="2" fillId="0" borderId="0" xfId="0" applyFont="1" applyBorder="1" applyAlignment="1" applyProtection="1">
      <alignment horizontal="center"/>
    </xf>
    <xf numFmtId="0" fontId="0" fillId="0" borderId="0" xfId="0" applyFont="1" applyBorder="1" applyProtection="1"/>
    <xf numFmtId="0" fontId="0" fillId="0" borderId="0" xfId="0" applyFont="1" applyBorder="1"/>
    <xf numFmtId="0" fontId="0" fillId="0" borderId="0" xfId="0" applyFont="1"/>
    <xf numFmtId="0" fontId="0" fillId="0" borderId="0" xfId="0" applyFont="1" applyProtection="1"/>
    <xf numFmtId="0" fontId="2" fillId="0" borderId="0" xfId="0" applyFont="1" applyProtection="1"/>
    <xf numFmtId="0" fontId="2" fillId="0" borderId="0" xfId="0" applyFont="1" applyBorder="1" applyAlignment="1" applyProtection="1">
      <alignment wrapText="1"/>
    </xf>
    <xf numFmtId="0" fontId="2" fillId="0" borderId="0" xfId="0" applyFont="1" applyAlignment="1">
      <alignment horizontal="right"/>
    </xf>
    <xf numFmtId="0" fontId="2" fillId="2" borderId="0" xfId="0" applyFont="1" applyFill="1" applyBorder="1" applyAlignment="1" applyProtection="1">
      <alignment horizontal="centerContinuous" wrapText="1"/>
    </xf>
    <xf numFmtId="0" fontId="2" fillId="2" borderId="0" xfId="0" applyFont="1" applyFill="1" applyBorder="1" applyAlignment="1" applyProtection="1">
      <alignment horizontal="centerContinuous"/>
    </xf>
    <xf numFmtId="0" fontId="3" fillId="0" borderId="0" xfId="0" applyFont="1"/>
    <xf numFmtId="0" fontId="0" fillId="0" borderId="0" xfId="0" applyFont="1" applyBorder="1" applyAlignment="1"/>
    <xf numFmtId="0" fontId="2" fillId="0" borderId="0" xfId="0" applyFont="1" applyFill="1" applyBorder="1" applyAlignment="1" applyProtection="1">
      <alignment horizontal="center" vertical="top" wrapText="1"/>
    </xf>
    <xf numFmtId="16" fontId="2" fillId="0" borderId="0" xfId="0" applyNumberFormat="1" applyFont="1" applyBorder="1" applyProtection="1"/>
    <xf numFmtId="167" fontId="2" fillId="0" borderId="0" xfId="0" applyNumberFormat="1" applyFont="1" applyBorder="1" applyProtection="1"/>
    <xf numFmtId="16" fontId="0" fillId="0" borderId="0" xfId="0" applyNumberFormat="1" applyFont="1" applyBorder="1" applyProtection="1"/>
    <xf numFmtId="167" fontId="0" fillId="0" borderId="0" xfId="0" applyNumberFormat="1" applyFont="1" applyBorder="1" applyProtection="1"/>
    <xf numFmtId="2" fontId="0" fillId="0" borderId="0" xfId="0" applyNumberFormat="1" applyFont="1" applyBorder="1" applyProtection="1"/>
    <xf numFmtId="2" fontId="2" fillId="0" borderId="0" xfId="0" applyNumberFormat="1" applyFont="1" applyBorder="1" applyProtection="1"/>
    <xf numFmtId="0" fontId="2" fillId="0" borderId="0" xfId="0" applyFont="1" applyBorder="1" applyAlignment="1">
      <alignment horizontal="center"/>
    </xf>
    <xf numFmtId="0" fontId="2" fillId="3" borderId="0" xfId="0" applyFont="1" applyFill="1" applyBorder="1" applyAlignment="1" applyProtection="1">
      <alignment horizontal="center" wrapText="1"/>
    </xf>
    <xf numFmtId="0" fontId="2" fillId="3" borderId="0" xfId="0" applyFont="1" applyFill="1" applyBorder="1" applyAlignment="1" applyProtection="1">
      <alignment horizontal="center"/>
    </xf>
    <xf numFmtId="0" fontId="2" fillId="3" borderId="0" xfId="0" applyFont="1" applyFill="1" applyBorder="1"/>
    <xf numFmtId="0" fontId="11" fillId="3" borderId="0" xfId="0" applyFont="1" applyFill="1" applyBorder="1"/>
    <xf numFmtId="167" fontId="0" fillId="3" borderId="0" xfId="0" applyNumberFormat="1" applyFont="1" applyFill="1" applyBorder="1" applyAlignment="1">
      <alignment horizontal="center"/>
    </xf>
    <xf numFmtId="2" fontId="0" fillId="3" borderId="0" xfId="0" applyNumberFormat="1" applyFont="1" applyFill="1" applyBorder="1" applyAlignment="1">
      <alignment horizontal="center"/>
    </xf>
    <xf numFmtId="0" fontId="0" fillId="3" borderId="0" xfId="0" applyFont="1" applyFill="1" applyBorder="1" applyAlignment="1">
      <alignment horizontal="center"/>
    </xf>
    <xf numFmtId="166" fontId="0" fillId="3" borderId="0" xfId="0" applyNumberFormat="1" applyFont="1" applyFill="1" applyBorder="1" applyAlignment="1">
      <alignment horizontal="center"/>
    </xf>
    <xf numFmtId="11" fontId="0" fillId="3" borderId="0" xfId="0" applyNumberFormat="1" applyFont="1" applyFill="1" applyAlignment="1">
      <alignment horizontal="center"/>
    </xf>
    <xf numFmtId="0" fontId="0" fillId="3" borderId="0" xfId="0" applyFont="1" applyFill="1" applyAlignment="1">
      <alignment horizontal="center"/>
    </xf>
    <xf numFmtId="0" fontId="0" fillId="3" borderId="0" xfId="0" applyFont="1" applyFill="1" applyBorder="1" applyAlignment="1">
      <alignment horizontal="center" wrapText="1"/>
    </xf>
    <xf numFmtId="11" fontId="0" fillId="3" borderId="0" xfId="0" applyNumberFormat="1" applyFont="1" applyFill="1" applyBorder="1" applyAlignment="1">
      <alignment horizontal="center" wrapText="1"/>
    </xf>
    <xf numFmtId="0" fontId="12" fillId="3" borderId="0" xfId="0" applyFont="1" applyFill="1" applyBorder="1" applyAlignment="1">
      <alignment horizontal="center" wrapText="1"/>
    </xf>
    <xf numFmtId="0" fontId="12" fillId="3" borderId="0" xfId="0" applyFont="1" applyFill="1" applyBorder="1" applyAlignment="1">
      <alignment horizontal="center"/>
    </xf>
    <xf numFmtId="0" fontId="0" fillId="3" borderId="0" xfId="0" applyFont="1" applyFill="1" applyBorder="1" applyAlignment="1" applyProtection="1">
      <alignment horizontal="center"/>
      <protection locked="0"/>
    </xf>
    <xf numFmtId="0" fontId="12" fillId="3" borderId="0" xfId="0" applyNumberFormat="1" applyFont="1" applyFill="1" applyBorder="1" applyAlignment="1">
      <alignment horizontal="center"/>
    </xf>
    <xf numFmtId="0" fontId="0" fillId="3" borderId="0" xfId="0" applyNumberFormat="1" applyFont="1" applyFill="1" applyBorder="1" applyAlignment="1">
      <alignment horizontal="center"/>
    </xf>
    <xf numFmtId="0" fontId="2" fillId="3" borderId="0" xfId="0" applyFont="1" applyFill="1" applyBorder="1" applyAlignment="1">
      <alignment horizontal="center"/>
    </xf>
    <xf numFmtId="0" fontId="0" fillId="3" borderId="0" xfId="0" applyFont="1" applyFill="1" applyBorder="1" applyAlignment="1" applyProtection="1">
      <alignment horizontal="center"/>
    </xf>
    <xf numFmtId="11" fontId="0" fillId="3" borderId="0" xfId="0" applyNumberFormat="1" applyFont="1" applyFill="1" applyBorder="1" applyAlignment="1">
      <alignment horizontal="center"/>
    </xf>
    <xf numFmtId="0" fontId="2" fillId="3" borderId="0" xfId="0" applyFont="1" applyFill="1" applyBorder="1" applyAlignment="1" applyProtection="1">
      <alignment horizontal="center"/>
      <protection locked="0"/>
    </xf>
    <xf numFmtId="11" fontId="12" fillId="3" borderId="0" xfId="0" applyNumberFormat="1" applyFont="1" applyFill="1" applyBorder="1" applyAlignment="1" applyProtection="1">
      <alignment horizontal="center"/>
      <protection locked="0"/>
    </xf>
    <xf numFmtId="165" fontId="12" fillId="3" borderId="0" xfId="0" applyNumberFormat="1" applyFont="1" applyFill="1" applyBorder="1" applyAlignment="1" applyProtection="1">
      <alignment horizontal="center"/>
      <protection locked="0"/>
    </xf>
    <xf numFmtId="2" fontId="0" fillId="3" borderId="0" xfId="0" applyNumberFormat="1" applyFont="1" applyFill="1" applyBorder="1" applyAlignment="1" applyProtection="1">
      <alignment horizontal="center"/>
      <protection locked="0"/>
    </xf>
    <xf numFmtId="11" fontId="0" fillId="3" borderId="0" xfId="0" applyNumberFormat="1" applyFont="1" applyFill="1" applyBorder="1" applyAlignment="1" applyProtection="1">
      <alignment horizontal="center"/>
      <protection locked="0"/>
    </xf>
    <xf numFmtId="1" fontId="0" fillId="3" borderId="0" xfId="0" applyNumberFormat="1" applyFont="1" applyFill="1" applyBorder="1" applyAlignment="1" applyProtection="1">
      <alignment horizontal="center"/>
      <protection locked="0"/>
    </xf>
    <xf numFmtId="165" fontId="0" fillId="3" borderId="0" xfId="0" applyNumberFormat="1" applyFont="1" applyFill="1" applyBorder="1" applyAlignment="1" applyProtection="1">
      <alignment horizontal="center"/>
      <protection locked="0"/>
    </xf>
    <xf numFmtId="0" fontId="12" fillId="3" borderId="0" xfId="0" applyFont="1" applyFill="1" applyBorder="1" applyAlignment="1" applyProtection="1">
      <alignment horizontal="center"/>
      <protection locked="0"/>
    </xf>
    <xf numFmtId="11" fontId="12" fillId="3" borderId="0" xfId="0" applyNumberFormat="1" applyFont="1" applyFill="1" applyBorder="1" applyAlignment="1">
      <alignment horizontal="center"/>
    </xf>
    <xf numFmtId="0" fontId="3" fillId="3" borderId="0" xfId="0" applyFont="1" applyFill="1" applyBorder="1" applyAlignment="1" applyProtection="1">
      <alignment horizontal="left"/>
      <protection locked="0"/>
    </xf>
    <xf numFmtId="0" fontId="11" fillId="3" borderId="0" xfId="0" applyFont="1" applyFill="1" applyBorder="1" applyAlignment="1">
      <alignment horizontal="center"/>
    </xf>
    <xf numFmtId="0" fontId="13" fillId="3" borderId="0" xfId="0" applyFont="1" applyFill="1" applyBorder="1"/>
    <xf numFmtId="0" fontId="2" fillId="3" borderId="7" xfId="0" applyFont="1" applyFill="1" applyBorder="1" applyAlignment="1">
      <alignment horizontal="center"/>
    </xf>
    <xf numFmtId="0" fontId="2" fillId="3" borderId="7" xfId="0" applyFont="1" applyFill="1" applyBorder="1" applyAlignment="1" applyProtection="1">
      <alignment horizontal="center" wrapText="1"/>
    </xf>
    <xf numFmtId="0" fontId="2" fillId="3" borderId="7" xfId="0" applyFont="1" applyFill="1" applyBorder="1" applyAlignment="1" applyProtection="1">
      <alignment horizontal="center"/>
    </xf>
    <xf numFmtId="0" fontId="4" fillId="3" borderId="7" xfId="0" applyFont="1" applyFill="1" applyBorder="1" applyAlignment="1" applyProtection="1">
      <alignment horizontal="center"/>
    </xf>
    <xf numFmtId="16" fontId="2" fillId="3" borderId="0" xfId="0" applyNumberFormat="1" applyFont="1" applyFill="1" applyBorder="1" applyAlignment="1" applyProtection="1">
      <alignment horizontal="center"/>
      <protection locked="0"/>
    </xf>
    <xf numFmtId="14" fontId="0" fillId="3" borderId="0" xfId="0" applyNumberFormat="1" applyFont="1" applyFill="1" applyBorder="1" applyAlignment="1" applyProtection="1">
      <alignment horizontal="center"/>
      <protection locked="0"/>
    </xf>
    <xf numFmtId="19" fontId="0" fillId="3" borderId="0" xfId="0" applyNumberFormat="1" applyFont="1" applyFill="1" applyBorder="1" applyAlignment="1">
      <alignment horizontal="center"/>
    </xf>
    <xf numFmtId="11" fontId="2" fillId="3" borderId="0" xfId="0" applyNumberFormat="1" applyFont="1" applyFill="1" applyBorder="1" applyAlignment="1">
      <alignment horizontal="center"/>
    </xf>
    <xf numFmtId="167" fontId="0" fillId="3" borderId="0" xfId="0" applyNumberFormat="1" applyFont="1" applyFill="1" applyBorder="1" applyAlignment="1" applyProtection="1">
      <alignment horizontal="center"/>
    </xf>
    <xf numFmtId="2" fontId="0" fillId="3" borderId="0" xfId="0" applyNumberFormat="1" applyFont="1" applyFill="1" applyBorder="1" applyAlignment="1" applyProtection="1">
      <alignment horizontal="center"/>
    </xf>
    <xf numFmtId="11" fontId="0" fillId="3" borderId="0" xfId="0" applyNumberFormat="1" applyFont="1" applyFill="1" applyBorder="1" applyAlignment="1" applyProtection="1">
      <alignment horizontal="center"/>
    </xf>
    <xf numFmtId="1" fontId="0" fillId="3" borderId="0" xfId="0" applyNumberFormat="1" applyFont="1" applyFill="1" applyBorder="1" applyAlignment="1" applyProtection="1">
      <alignment horizontal="center"/>
    </xf>
    <xf numFmtId="0" fontId="0" fillId="3" borderId="0" xfId="0" applyFont="1" applyFill="1" applyBorder="1" applyAlignment="1" applyProtection="1">
      <alignment horizontal="center" wrapText="1"/>
    </xf>
    <xf numFmtId="171" fontId="0" fillId="3" borderId="0" xfId="0" applyNumberFormat="1" applyFont="1" applyFill="1" applyBorder="1" applyAlignment="1">
      <alignment horizontal="center"/>
    </xf>
    <xf numFmtId="0" fontId="12" fillId="3" borderId="0" xfId="0" applyFont="1" applyFill="1" applyAlignment="1">
      <alignment horizontal="center"/>
    </xf>
    <xf numFmtId="0" fontId="12" fillId="3" borderId="0" xfId="0" applyNumberFormat="1" applyFont="1" applyFill="1" applyAlignment="1">
      <alignment horizontal="center"/>
    </xf>
    <xf numFmtId="2" fontId="0" fillId="3" borderId="5" xfId="0" applyNumberFormat="1" applyFont="1" applyFill="1" applyBorder="1" applyAlignment="1">
      <alignment horizontal="center"/>
    </xf>
    <xf numFmtId="2" fontId="0" fillId="3" borderId="5" xfId="0" applyNumberFormat="1" applyFont="1" applyFill="1" applyBorder="1" applyAlignment="1" applyProtection="1">
      <alignment horizontal="center" wrapText="1"/>
      <protection locked="0"/>
    </xf>
    <xf numFmtId="11" fontId="0" fillId="3" borderId="5" xfId="0" applyNumberFormat="1" applyFont="1" applyFill="1" applyBorder="1" applyAlignment="1" applyProtection="1">
      <alignment horizontal="center"/>
      <protection locked="0"/>
    </xf>
    <xf numFmtId="167" fontId="0" fillId="3" borderId="5" xfId="0" applyNumberFormat="1" applyFont="1" applyFill="1" applyBorder="1" applyAlignment="1" applyProtection="1">
      <alignment horizontal="center"/>
    </xf>
    <xf numFmtId="11" fontId="0" fillId="3" borderId="5" xfId="0" applyNumberFormat="1" applyFont="1" applyFill="1" applyBorder="1" applyAlignment="1" applyProtection="1">
      <alignment horizontal="center"/>
    </xf>
    <xf numFmtId="168" fontId="0" fillId="3" borderId="5" xfId="0" applyNumberFormat="1" applyFont="1" applyFill="1" applyBorder="1" applyAlignment="1" applyProtection="1">
      <alignment horizontal="center"/>
    </xf>
    <xf numFmtId="171" fontId="0" fillId="3" borderId="5" xfId="0" applyNumberFormat="1" applyFont="1" applyFill="1" applyBorder="1" applyAlignment="1" applyProtection="1">
      <alignment horizontal="center"/>
    </xf>
    <xf numFmtId="166" fontId="0" fillId="3" borderId="5" xfId="0" applyNumberFormat="1" applyFont="1" applyFill="1" applyBorder="1" applyAlignment="1" applyProtection="1">
      <alignment horizontal="center"/>
    </xf>
    <xf numFmtId="167" fontId="0" fillId="3" borderId="6" xfId="0" applyNumberFormat="1" applyFont="1" applyFill="1" applyBorder="1" applyAlignment="1" applyProtection="1">
      <alignment horizontal="center"/>
    </xf>
    <xf numFmtId="14" fontId="0" fillId="3" borderId="7" xfId="0" applyNumberFormat="1" applyFont="1" applyFill="1" applyBorder="1" applyAlignment="1">
      <alignment horizontal="center"/>
    </xf>
    <xf numFmtId="19" fontId="0" fillId="3" borderId="7" xfId="0" applyNumberFormat="1" applyFont="1" applyFill="1" applyBorder="1" applyAlignment="1" applyProtection="1">
      <alignment horizontal="center"/>
    </xf>
    <xf numFmtId="0" fontId="0" fillId="3" borderId="0" xfId="0" applyNumberFormat="1" applyFont="1" applyFill="1" applyAlignment="1">
      <alignment horizontal="center"/>
    </xf>
    <xf numFmtId="0" fontId="2" fillId="4" borderId="5" xfId="0" applyFont="1" applyFill="1" applyBorder="1" applyAlignment="1" applyProtection="1">
      <alignment horizontal="center" wrapText="1"/>
    </xf>
    <xf numFmtId="0" fontId="2" fillId="4" borderId="5" xfId="0" applyFont="1" applyFill="1" applyBorder="1" applyAlignment="1">
      <alignment horizontal="center" wrapText="1"/>
    </xf>
    <xf numFmtId="14" fontId="2" fillId="4" borderId="4" xfId="0" applyNumberFormat="1" applyFont="1" applyFill="1" applyBorder="1" applyAlignment="1" applyProtection="1">
      <alignment horizontal="center" wrapText="1"/>
    </xf>
    <xf numFmtId="21" fontId="2" fillId="4" borderId="5" xfId="0" applyNumberFormat="1" applyFont="1" applyFill="1" applyBorder="1" applyAlignment="1" applyProtection="1">
      <alignment horizontal="center" wrapText="1"/>
    </xf>
    <xf numFmtId="0" fontId="0" fillId="4" borderId="7" xfId="0" applyFont="1" applyFill="1" applyBorder="1" applyAlignment="1">
      <alignment horizontal="center"/>
    </xf>
    <xf numFmtId="16" fontId="0" fillId="4" borderId="7" xfId="0" applyNumberFormat="1" applyFont="1" applyFill="1" applyBorder="1" applyAlignment="1">
      <alignment horizontal="center"/>
    </xf>
    <xf numFmtId="0" fontId="0" fillId="3" borderId="0" xfId="0" applyFill="1" applyBorder="1" applyAlignment="1" applyProtection="1">
      <alignment horizontal="center"/>
      <protection locked="0"/>
    </xf>
    <xf numFmtId="0" fontId="0" fillId="3" borderId="0" xfId="0" applyFill="1" applyBorder="1" applyAlignment="1">
      <alignment horizontal="center"/>
    </xf>
    <xf numFmtId="0" fontId="0" fillId="3" borderId="0" xfId="0" applyFill="1" applyAlignment="1">
      <alignment horizontal="center"/>
    </xf>
    <xf numFmtId="0" fontId="18" fillId="3" borderId="0" xfId="0" applyFont="1" applyFill="1" applyBorder="1" applyAlignment="1">
      <alignment horizontal="center"/>
    </xf>
    <xf numFmtId="0" fontId="3" fillId="3" borderId="0" xfId="0" applyFont="1" applyFill="1" applyBorder="1"/>
    <xf numFmtId="0" fontId="2" fillId="3" borderId="7" xfId="0" applyFont="1" applyFill="1" applyBorder="1"/>
    <xf numFmtId="0" fontId="1" fillId="3" borderId="0" xfId="1" applyFill="1"/>
    <xf numFmtId="0" fontId="1" fillId="3" borderId="0" xfId="1" applyFont="1" applyFill="1"/>
    <xf numFmtId="0" fontId="1" fillId="3" borderId="0" xfId="1" applyFont="1" applyFill="1" applyAlignment="1">
      <alignment wrapText="1"/>
    </xf>
    <xf numFmtId="0" fontId="1" fillId="3" borderId="0" xfId="1" applyFill="1" applyAlignment="1">
      <alignment horizontal="center"/>
    </xf>
    <xf numFmtId="0" fontId="0" fillId="3" borderId="0" xfId="1" applyFont="1" applyFill="1"/>
    <xf numFmtId="0" fontId="11" fillId="3" borderId="0" xfId="1" applyFont="1" applyFill="1"/>
    <xf numFmtId="0" fontId="1" fillId="3" borderId="7" xfId="1" applyFill="1" applyBorder="1" applyAlignment="1">
      <alignment horizontal="center"/>
    </xf>
    <xf numFmtId="0" fontId="2" fillId="3" borderId="7" xfId="1" applyFont="1" applyFill="1" applyBorder="1" applyAlignment="1">
      <alignment horizontal="center"/>
    </xf>
    <xf numFmtId="0" fontId="8" fillId="3" borderId="0" xfId="0" applyFont="1" applyFill="1" applyAlignment="1">
      <alignment wrapText="1"/>
    </xf>
    <xf numFmtId="0" fontId="0" fillId="3" borderId="0" xfId="0" applyFill="1"/>
    <xf numFmtId="11" fontId="0" fillId="3" borderId="0" xfId="0" applyNumberFormat="1" applyFill="1"/>
    <xf numFmtId="0" fontId="7" fillId="3" borderId="0" xfId="0" applyFont="1" applyFill="1"/>
    <xf numFmtId="2" fontId="0" fillId="3" borderId="0" xfId="0" applyNumberFormat="1" applyFill="1"/>
    <xf numFmtId="0" fontId="2" fillId="3" borderId="0" xfId="0" applyFont="1" applyFill="1"/>
    <xf numFmtId="11" fontId="2" fillId="3" borderId="0" xfId="0" applyNumberFormat="1" applyFont="1" applyFill="1"/>
    <xf numFmtId="14" fontId="0" fillId="3" borderId="0" xfId="0" applyNumberFormat="1" applyFill="1"/>
    <xf numFmtId="0" fontId="0" fillId="3" borderId="0" xfId="0" applyNumberFormat="1" applyFill="1"/>
    <xf numFmtId="170" fontId="0" fillId="3" borderId="0" xfId="0" applyNumberFormat="1" applyFill="1"/>
    <xf numFmtId="16" fontId="6" fillId="3" borderId="4" xfId="0" applyNumberFormat="1" applyFont="1" applyFill="1" applyBorder="1" applyAlignment="1">
      <alignment horizontal="center"/>
    </xf>
    <xf numFmtId="169" fontId="6" fillId="3" borderId="5" xfId="0" applyNumberFormat="1" applyFont="1" applyFill="1" applyBorder="1" applyAlignment="1">
      <alignment horizontal="center"/>
    </xf>
    <xf numFmtId="19" fontId="0" fillId="3" borderId="5" xfId="0" applyNumberFormat="1" applyFill="1" applyBorder="1" applyAlignment="1">
      <alignment horizontal="center"/>
    </xf>
    <xf numFmtId="0" fontId="6" fillId="3" borderId="5" xfId="0" applyFont="1" applyFill="1" applyBorder="1" applyAlignment="1">
      <alignment horizontal="center"/>
    </xf>
    <xf numFmtId="0" fontId="0" fillId="3" borderId="5" xfId="0" applyFill="1" applyBorder="1" applyAlignment="1">
      <alignment horizontal="center"/>
    </xf>
    <xf numFmtId="11" fontId="0" fillId="3" borderId="5" xfId="0" applyNumberFormat="1" applyFill="1" applyBorder="1" applyAlignment="1">
      <alignment horizontal="center"/>
    </xf>
    <xf numFmtId="2" fontId="6" fillId="3" borderId="5" xfId="0" applyNumberFormat="1" applyFont="1" applyFill="1" applyBorder="1" applyAlignment="1">
      <alignment horizontal="center"/>
    </xf>
    <xf numFmtId="11" fontId="6" fillId="3" borderId="5" xfId="0" applyNumberFormat="1" applyFont="1" applyFill="1" applyBorder="1" applyAlignment="1">
      <alignment horizontal="center"/>
    </xf>
    <xf numFmtId="166" fontId="6" fillId="3" borderId="5" xfId="0" applyNumberFormat="1" applyFont="1" applyFill="1" applyBorder="1" applyAlignment="1">
      <alignment horizontal="center"/>
    </xf>
    <xf numFmtId="164" fontId="6" fillId="3" borderId="5" xfId="0" applyNumberFormat="1" applyFont="1" applyFill="1" applyBorder="1" applyAlignment="1">
      <alignment horizontal="center"/>
    </xf>
    <xf numFmtId="0" fontId="0" fillId="3" borderId="6" xfId="0" applyFill="1" applyBorder="1" applyAlignment="1">
      <alignment horizontal="center"/>
    </xf>
    <xf numFmtId="0" fontId="8" fillId="3" borderId="9" xfId="0" applyFont="1" applyFill="1" applyBorder="1" applyAlignment="1">
      <alignment horizontal="center" wrapText="1"/>
    </xf>
    <xf numFmtId="14" fontId="8" fillId="3" borderId="8" xfId="0" applyNumberFormat="1" applyFont="1" applyFill="1" applyBorder="1" applyAlignment="1">
      <alignment horizontal="center" wrapText="1"/>
    </xf>
    <xf numFmtId="169" fontId="8" fillId="3" borderId="8" xfId="0" applyNumberFormat="1" applyFont="1" applyFill="1" applyBorder="1" applyAlignment="1">
      <alignment horizontal="center" wrapText="1"/>
    </xf>
    <xf numFmtId="0" fontId="8" fillId="3" borderId="8" xfId="0" applyFont="1" applyFill="1" applyBorder="1" applyAlignment="1">
      <alignment horizontal="center" wrapText="1"/>
    </xf>
    <xf numFmtId="11" fontId="8" fillId="3" borderId="8" xfId="0" applyNumberFormat="1" applyFont="1" applyFill="1" applyBorder="1" applyAlignment="1">
      <alignment horizontal="center" wrapText="1"/>
    </xf>
    <xf numFmtId="0" fontId="8" fillId="3" borderId="10" xfId="0" applyFont="1" applyFill="1" applyBorder="1" applyAlignment="1">
      <alignment horizontal="center" wrapText="1"/>
    </xf>
    <xf numFmtId="0" fontId="2" fillId="3" borderId="1" xfId="1" applyFont="1" applyFill="1" applyBorder="1"/>
    <xf numFmtId="0" fontId="2" fillId="3" borderId="1" xfId="1" applyFont="1" applyFill="1" applyBorder="1" applyAlignment="1">
      <alignment horizontal="center"/>
    </xf>
    <xf numFmtId="0" fontId="1" fillId="3" borderId="0" xfId="1" applyFont="1" applyFill="1" applyAlignment="1">
      <alignment horizontal="center"/>
    </xf>
    <xf numFmtId="0" fontId="14" fillId="3" borderId="0" xfId="1" applyFont="1" applyFill="1" applyAlignment="1">
      <alignment horizontal="center"/>
    </xf>
    <xf numFmtId="0" fontId="2" fillId="3" borderId="0" xfId="1" applyFont="1" applyFill="1" applyAlignment="1">
      <alignment horizontal="center"/>
    </xf>
    <xf numFmtId="0" fontId="2" fillId="3" borderId="0" xfId="1" applyFont="1" applyFill="1"/>
    <xf numFmtId="0" fontId="14" fillId="3" borderId="0" xfId="1" applyFont="1" applyFill="1"/>
    <xf numFmtId="0" fontId="12" fillId="3" borderId="0" xfId="0" applyFont="1" applyFill="1" applyBorder="1" applyAlignment="1">
      <alignment horizontal="left"/>
    </xf>
    <xf numFmtId="0" fontId="12" fillId="3" borderId="0" xfId="0" applyNumberFormat="1" applyFont="1" applyFill="1" applyBorder="1" applyAlignment="1">
      <alignment horizontal="left"/>
    </xf>
    <xf numFmtId="16" fontId="12" fillId="3" borderId="0" xfId="0" applyNumberFormat="1" applyFont="1" applyFill="1" applyBorder="1" applyAlignment="1">
      <alignment horizontal="left"/>
    </xf>
    <xf numFmtId="0" fontId="12" fillId="3" borderId="0" xfId="0" applyFont="1" applyFill="1" applyAlignment="1">
      <alignment horizontal="left"/>
    </xf>
    <xf numFmtId="0" fontId="12" fillId="3" borderId="0" xfId="0" applyNumberFormat="1" applyFont="1" applyFill="1" applyBorder="1" applyAlignment="1">
      <alignment horizontal="center" wrapText="1"/>
    </xf>
    <xf numFmtId="0" fontId="12" fillId="3" borderId="0" xfId="0" applyNumberFormat="1" applyFont="1" applyFill="1" applyBorder="1" applyAlignment="1" applyProtection="1">
      <alignment horizontal="center"/>
      <protection locked="0"/>
    </xf>
    <xf numFmtId="11" fontId="1" fillId="3" borderId="0" xfId="1" applyNumberFormat="1" applyFill="1" applyAlignment="1">
      <alignment horizontal="center"/>
    </xf>
    <xf numFmtId="0" fontId="1" fillId="3" borderId="6" xfId="1" applyFill="1" applyBorder="1"/>
    <xf numFmtId="0" fontId="1" fillId="3" borderId="13" xfId="1" applyFill="1" applyBorder="1" applyAlignment="1">
      <alignment horizontal="center"/>
    </xf>
    <xf numFmtId="0" fontId="1" fillId="3" borderId="14" xfId="1" applyFill="1" applyBorder="1" applyAlignment="1">
      <alignment horizontal="center"/>
    </xf>
    <xf numFmtId="0" fontId="1" fillId="3" borderId="13" xfId="1" applyFill="1" applyBorder="1"/>
    <xf numFmtId="0" fontId="1" fillId="3" borderId="14" xfId="1" applyFill="1" applyBorder="1"/>
    <xf numFmtId="2" fontId="1" fillId="3" borderId="13" xfId="1" applyNumberFormat="1" applyFill="1" applyBorder="1" applyAlignment="1">
      <alignment horizontal="center"/>
    </xf>
    <xf numFmtId="0" fontId="1" fillId="3" borderId="2" xfId="1" applyFill="1" applyBorder="1"/>
    <xf numFmtId="0" fontId="1" fillId="3" borderId="3" xfId="1" applyFill="1" applyBorder="1"/>
    <xf numFmtId="168" fontId="1" fillId="3" borderId="13" xfId="1" applyNumberFormat="1" applyFill="1" applyBorder="1" applyAlignment="1">
      <alignment horizontal="center"/>
    </xf>
    <xf numFmtId="9" fontId="1" fillId="3" borderId="0" xfId="1" applyNumberFormat="1" applyFill="1" applyAlignment="1">
      <alignment horizontal="center"/>
    </xf>
    <xf numFmtId="0" fontId="0" fillId="3" borderId="0" xfId="1" applyFont="1" applyFill="1" applyAlignment="1">
      <alignment horizontal="left"/>
    </xf>
    <xf numFmtId="0" fontId="2" fillId="3" borderId="4" xfId="1" applyFont="1" applyFill="1" applyBorder="1" applyAlignment="1">
      <alignment horizontal="center"/>
    </xf>
    <xf numFmtId="0" fontId="2" fillId="3" borderId="6" xfId="1" applyFont="1" applyFill="1" applyBorder="1"/>
    <xf numFmtId="0" fontId="2" fillId="3" borderId="4" xfId="1" applyFont="1" applyFill="1" applyBorder="1"/>
    <xf numFmtId="0" fontId="2" fillId="3" borderId="13" xfId="1" applyFont="1" applyFill="1" applyBorder="1" applyAlignment="1">
      <alignment horizontal="center"/>
    </xf>
    <xf numFmtId="0" fontId="2" fillId="3" borderId="14" xfId="1" applyFont="1" applyFill="1" applyBorder="1" applyAlignment="1">
      <alignment horizontal="center"/>
    </xf>
    <xf numFmtId="0" fontId="0" fillId="3" borderId="0" xfId="1" applyFont="1" applyFill="1" applyAlignment="1">
      <alignment wrapText="1"/>
    </xf>
    <xf numFmtId="0" fontId="2" fillId="3" borderId="8" xfId="0" applyFont="1" applyFill="1" applyBorder="1" applyAlignment="1">
      <alignment horizontal="center"/>
    </xf>
    <xf numFmtId="0" fontId="11" fillId="3" borderId="8" xfId="0" applyFont="1" applyFill="1" applyBorder="1"/>
    <xf numFmtId="0" fontId="3" fillId="3" borderId="1" xfId="0" applyFont="1" applyFill="1" applyBorder="1"/>
    <xf numFmtId="0" fontId="2" fillId="3" borderId="1" xfId="0" applyFont="1" applyFill="1" applyBorder="1"/>
    <xf numFmtId="0" fontId="2" fillId="3" borderId="1" xfId="0" applyFont="1" applyFill="1" applyBorder="1" applyAlignment="1"/>
    <xf numFmtId="0" fontId="0" fillId="3" borderId="4" xfId="0" applyNumberFormat="1" applyFont="1" applyFill="1" applyBorder="1" applyAlignment="1" applyProtection="1">
      <alignment horizontal="center"/>
      <protection locked="0"/>
    </xf>
    <xf numFmtId="11" fontId="12" fillId="3" borderId="0" xfId="0" applyNumberFormat="1" applyFont="1" applyFill="1" applyAlignment="1">
      <alignment horizontal="center"/>
    </xf>
    <xf numFmtId="16" fontId="20" fillId="0" borderId="2" xfId="0" applyNumberFormat="1" applyFont="1" applyBorder="1" applyAlignment="1" applyProtection="1">
      <alignment horizontal="center"/>
      <protection locked="0"/>
    </xf>
    <xf numFmtId="0" fontId="20" fillId="0" borderId="1" xfId="0" applyFont="1" applyBorder="1" applyAlignment="1" applyProtection="1">
      <alignment horizontal="center"/>
      <protection locked="0"/>
    </xf>
    <xf numFmtId="166" fontId="20" fillId="0" borderId="1" xfId="0" applyNumberFormat="1" applyFont="1" applyBorder="1" applyAlignment="1" applyProtection="1">
      <alignment horizontal="center"/>
      <protection locked="0"/>
    </xf>
    <xf numFmtId="0" fontId="20" fillId="0" borderId="3" xfId="0" applyFont="1" applyBorder="1" applyAlignment="1" applyProtection="1">
      <alignment horizontal="center"/>
      <protection locked="0"/>
    </xf>
    <xf numFmtId="2" fontId="20" fillId="0" borderId="4" xfId="0" applyNumberFormat="1" applyFont="1" applyBorder="1" applyAlignment="1" applyProtection="1">
      <alignment horizontal="center"/>
      <protection locked="0"/>
    </xf>
    <xf numFmtId="167" fontId="20" fillId="0" borderId="5" xfId="0" applyNumberFormat="1" applyFont="1" applyBorder="1" applyAlignment="1" applyProtection="1">
      <alignment horizontal="center"/>
      <protection locked="0"/>
    </xf>
    <xf numFmtId="21" fontId="3" fillId="0" borderId="5" xfId="0" applyNumberFormat="1" applyFont="1" applyBorder="1" applyAlignment="1" applyProtection="1">
      <alignment horizontal="center"/>
    </xf>
    <xf numFmtId="0" fontId="3" fillId="3" borderId="4" xfId="0" applyFont="1" applyFill="1" applyBorder="1" applyAlignment="1" applyProtection="1">
      <alignment horizontal="center" wrapText="1"/>
    </xf>
    <xf numFmtId="0" fontId="3" fillId="3" borderId="5" xfId="0" applyFont="1" applyFill="1" applyBorder="1" applyAlignment="1" applyProtection="1">
      <alignment horizontal="center" wrapText="1"/>
    </xf>
    <xf numFmtId="0" fontId="3" fillId="3" borderId="6" xfId="0" applyFont="1" applyFill="1" applyBorder="1" applyAlignment="1" applyProtection="1">
      <alignment horizontal="center" wrapText="1"/>
    </xf>
    <xf numFmtId="2" fontId="3" fillId="0" borderId="4" xfId="0" applyNumberFormat="1" applyFont="1" applyBorder="1" applyAlignment="1" applyProtection="1">
      <alignment horizontal="center"/>
    </xf>
    <xf numFmtId="166" fontId="3" fillId="0" borderId="5" xfId="0" applyNumberFormat="1" applyFont="1" applyBorder="1" applyAlignment="1" applyProtection="1">
      <alignment horizontal="center"/>
    </xf>
    <xf numFmtId="2" fontId="3" fillId="0" borderId="5" xfId="0" applyNumberFormat="1" applyFont="1" applyBorder="1" applyAlignment="1" applyProtection="1">
      <alignment horizontal="center" wrapText="1"/>
    </xf>
    <xf numFmtId="167" fontId="3" fillId="0" borderId="5" xfId="0" applyNumberFormat="1" applyFont="1" applyBorder="1" applyAlignment="1" applyProtection="1">
      <alignment horizontal="center"/>
    </xf>
    <xf numFmtId="0" fontId="3" fillId="2" borderId="0" xfId="0" applyFont="1" applyFill="1" applyBorder="1" applyProtection="1"/>
    <xf numFmtId="0" fontId="3" fillId="2" borderId="0" xfId="0" applyFont="1" applyFill="1" applyBorder="1" applyAlignment="1" applyProtection="1">
      <alignment horizontal="left"/>
    </xf>
    <xf numFmtId="0" fontId="3" fillId="0" borderId="0" xfId="0" applyFont="1" applyBorder="1"/>
    <xf numFmtId="0" fontId="2" fillId="3" borderId="7" xfId="0" applyFont="1" applyFill="1" applyBorder="1"/>
    <xf numFmtId="0" fontId="2" fillId="3" borderId="8" xfId="0" applyFont="1" applyFill="1" applyBorder="1"/>
    <xf numFmtId="49" fontId="2" fillId="0" borderId="0" xfId="0" applyNumberFormat="1" applyFont="1" applyBorder="1" applyAlignment="1" applyProtection="1">
      <alignment horizontal="left"/>
    </xf>
    <xf numFmtId="0" fontId="0" fillId="3" borderId="0" xfId="0" applyFill="1" applyBorder="1" applyAlignment="1" applyProtection="1">
      <alignment horizontal="left"/>
    </xf>
    <xf numFmtId="0" fontId="0" fillId="3" borderId="0" xfId="0" applyFill="1" applyBorder="1" applyAlignment="1">
      <alignment horizontal="left"/>
    </xf>
    <xf numFmtId="0" fontId="0" fillId="3" borderId="0" xfId="0" applyFill="1" applyAlignment="1">
      <alignment horizontal="left"/>
    </xf>
    <xf numFmtId="0" fontId="26" fillId="0" borderId="0" xfId="0" applyFont="1"/>
    <xf numFmtId="0" fontId="27" fillId="3" borderId="8" xfId="0" applyFont="1" applyFill="1" applyBorder="1"/>
    <xf numFmtId="16" fontId="3" fillId="3" borderId="5" xfId="0" applyNumberFormat="1" applyFont="1" applyFill="1" applyBorder="1" applyAlignment="1" applyProtection="1">
      <alignment horizontal="center" wrapText="1"/>
    </xf>
    <xf numFmtId="16" fontId="3" fillId="3" borderId="10" xfId="0" applyNumberFormat="1" applyFont="1" applyFill="1" applyBorder="1" applyAlignment="1" applyProtection="1">
      <alignment horizontal="center" wrapText="1"/>
    </xf>
    <xf numFmtId="14" fontId="3" fillId="0" borderId="5" xfId="0" applyNumberFormat="1" applyFont="1" applyBorder="1" applyAlignment="1" applyProtection="1">
      <alignment horizontal="center"/>
    </xf>
    <xf numFmtId="11" fontId="2" fillId="3" borderId="7" xfId="0" applyNumberFormat="1" applyFont="1" applyFill="1" applyBorder="1" applyAlignment="1" applyProtection="1">
      <alignment horizontal="center"/>
      <protection locked="0"/>
    </xf>
    <xf numFmtId="164" fontId="2" fillId="3" borderId="7" xfId="0" applyNumberFormat="1"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9" fontId="2" fillId="3" borderId="7" xfId="0" applyNumberFormat="1" applyFont="1" applyFill="1" applyBorder="1" applyAlignment="1" applyProtection="1">
      <alignment horizontal="center"/>
      <protection locked="0"/>
    </xf>
    <xf numFmtId="0" fontId="2" fillId="3" borderId="11" xfId="0" applyFont="1" applyFill="1" applyBorder="1" applyAlignment="1">
      <alignment horizontal="center"/>
    </xf>
    <xf numFmtId="0" fontId="20" fillId="2" borderId="6" xfId="0" applyFont="1" applyFill="1" applyBorder="1" applyAlignment="1" applyProtection="1">
      <alignment horizontal="center"/>
      <protection locked="0"/>
    </xf>
    <xf numFmtId="0" fontId="27" fillId="3" borderId="7" xfId="0" applyFont="1" applyFill="1" applyBorder="1" applyProtection="1">
      <protection locked="0"/>
    </xf>
    <xf numFmtId="0" fontId="27" fillId="3" borderId="11" xfId="0" applyFont="1" applyFill="1" applyBorder="1" applyProtection="1">
      <protection locked="0"/>
    </xf>
    <xf numFmtId="0" fontId="27" fillId="3" borderId="15" xfId="0" applyFont="1" applyFill="1" applyBorder="1" applyProtection="1">
      <protection locked="0"/>
    </xf>
    <xf numFmtId="165" fontId="1" fillId="3" borderId="0" xfId="0" applyNumberFormat="1" applyFont="1" applyFill="1" applyBorder="1" applyAlignment="1"/>
    <xf numFmtId="165" fontId="1" fillId="3" borderId="7" xfId="0" applyNumberFormat="1" applyFont="1" applyFill="1" applyBorder="1" applyAlignment="1">
      <alignment horizontal="center"/>
    </xf>
    <xf numFmtId="164" fontId="2" fillId="3" borderId="7" xfId="0" applyNumberFormat="1" applyFont="1" applyFill="1" applyBorder="1" applyAlignment="1" applyProtection="1">
      <alignment horizontal="center"/>
    </xf>
    <xf numFmtId="11" fontId="0" fillId="3" borderId="5" xfId="0" applyNumberFormat="1" applyFont="1" applyFill="1" applyBorder="1" applyAlignment="1">
      <alignment horizontal="center"/>
    </xf>
    <xf numFmtId="1" fontId="20" fillId="0" borderId="5" xfId="0" applyNumberFormat="1" applyFont="1" applyBorder="1" applyAlignment="1" applyProtection="1">
      <alignment horizontal="center"/>
      <protection locked="0"/>
    </xf>
    <xf numFmtId="2" fontId="2" fillId="3" borderId="0" xfId="0" applyNumberFormat="1" applyFont="1" applyFill="1" applyBorder="1"/>
    <xf numFmtId="0" fontId="3" fillId="3" borderId="5" xfId="0" applyFont="1" applyFill="1" applyBorder="1" applyAlignment="1">
      <alignment horizontal="center" wrapText="1"/>
    </xf>
    <xf numFmtId="0" fontId="3" fillId="0" borderId="5" xfId="0" applyFont="1" applyBorder="1" applyAlignment="1" applyProtection="1">
      <alignment horizontal="center"/>
    </xf>
    <xf numFmtId="168" fontId="3" fillId="0" borderId="5" xfId="0" applyNumberFormat="1" applyFont="1" applyBorder="1" applyAlignment="1">
      <alignment horizontal="center"/>
    </xf>
    <xf numFmtId="0" fontId="2" fillId="4" borderId="6" xfId="0" applyFont="1" applyFill="1" applyBorder="1" applyAlignment="1">
      <alignment horizontal="center" wrapText="1"/>
    </xf>
    <xf numFmtId="0" fontId="0" fillId="3" borderId="7" xfId="0" applyFont="1" applyFill="1" applyBorder="1" applyAlignment="1">
      <alignment horizontal="left"/>
    </xf>
    <xf numFmtId="0" fontId="0" fillId="3" borderId="7" xfId="0" applyFont="1" applyFill="1" applyBorder="1" applyAlignment="1" applyProtection="1">
      <alignment horizontal="left"/>
      <protection locked="0"/>
    </xf>
    <xf numFmtId="168" fontId="2" fillId="3" borderId="0" xfId="0" applyNumberFormat="1" applyFont="1" applyFill="1" applyBorder="1" applyAlignment="1">
      <alignment horizontal="center"/>
    </xf>
    <xf numFmtId="22" fontId="2" fillId="3" borderId="0" xfId="0" applyNumberFormat="1" applyFont="1" applyFill="1" applyBorder="1" applyAlignment="1">
      <alignment horizontal="center"/>
    </xf>
    <xf numFmtId="168" fontId="0" fillId="3" borderId="5" xfId="0" applyNumberFormat="1" applyFill="1" applyBorder="1" applyAlignment="1">
      <alignment horizontal="center"/>
    </xf>
    <xf numFmtId="0" fontId="8" fillId="3" borderId="0" xfId="0" applyFont="1" applyFill="1" applyAlignment="1">
      <alignment horizontal="center" wrapText="1"/>
    </xf>
    <xf numFmtId="14" fontId="0" fillId="0" borderId="0" xfId="0" applyNumberFormat="1"/>
    <xf numFmtId="0" fontId="0" fillId="0" borderId="0" xfId="0" applyNumberFormat="1"/>
    <xf numFmtId="11" fontId="0" fillId="0" borderId="0" xfId="0" applyNumberFormat="1"/>
    <xf numFmtId="0" fontId="2" fillId="0" borderId="1" xfId="0" applyNumberFormat="1" applyFont="1" applyBorder="1" applyAlignment="1">
      <alignment horizontal="center" vertical="center" wrapText="1"/>
    </xf>
    <xf numFmtId="11" fontId="3" fillId="0" borderId="5" xfId="0" applyNumberFormat="1" applyFont="1" applyBorder="1" applyAlignment="1" applyProtection="1">
      <alignment horizontal="center"/>
    </xf>
    <xf numFmtId="0" fontId="32" fillId="0" borderId="0" xfId="0" applyFont="1" applyProtection="1"/>
    <xf numFmtId="0" fontId="31" fillId="0" borderId="0" xfId="0" applyFont="1" applyAlignment="1" applyProtection="1">
      <alignment vertical="center"/>
    </xf>
    <xf numFmtId="0" fontId="32" fillId="0" borderId="0" xfId="0" applyFont="1" applyAlignment="1" applyProtection="1">
      <alignment vertical="center"/>
    </xf>
    <xf numFmtId="0" fontId="31" fillId="0" borderId="7" xfId="0" applyFont="1" applyBorder="1" applyAlignment="1" applyProtection="1">
      <alignment horizontal="center" vertical="center"/>
    </xf>
    <xf numFmtId="0" fontId="32" fillId="0" borderId="7" xfId="0" applyFont="1" applyBorder="1" applyAlignment="1" applyProtection="1">
      <alignment vertical="center"/>
    </xf>
    <xf numFmtId="0" fontId="33" fillId="0" borderId="7" xfId="0" applyFont="1" applyBorder="1" applyAlignment="1" applyProtection="1">
      <alignment horizontal="center" vertical="center"/>
    </xf>
    <xf numFmtId="0" fontId="32" fillId="0" borderId="7" xfId="0" applyFont="1" applyBorder="1" applyAlignment="1" applyProtection="1">
      <alignment horizontal="center" vertical="center"/>
    </xf>
    <xf numFmtId="0" fontId="37" fillId="0" borderId="7" xfId="0" applyFont="1" applyBorder="1" applyAlignment="1" applyProtection="1">
      <alignment vertical="center"/>
    </xf>
    <xf numFmtId="0" fontId="34" fillId="0" borderId="7" xfId="0" applyFont="1" applyBorder="1" applyAlignment="1" applyProtection="1">
      <alignment horizontal="center" vertical="center"/>
    </xf>
    <xf numFmtId="0" fontId="32" fillId="0" borderId="7" xfId="0" applyFont="1" applyBorder="1" applyAlignment="1" applyProtection="1">
      <alignment horizontal="left" vertical="center"/>
    </xf>
    <xf numFmtId="0" fontId="32" fillId="0" borderId="7" xfId="0" quotePrefix="1" applyFont="1" applyBorder="1" applyAlignment="1" applyProtection="1">
      <alignment horizontal="center" vertical="center"/>
    </xf>
    <xf numFmtId="0" fontId="35" fillId="0" borderId="7" xfId="0" applyFont="1" applyBorder="1" applyAlignment="1" applyProtection="1">
      <alignment horizontal="center" vertical="center"/>
    </xf>
    <xf numFmtId="0" fontId="32" fillId="0" borderId="0" xfId="0" applyFont="1" applyAlignment="1" applyProtection="1">
      <alignment horizontal="right"/>
    </xf>
    <xf numFmtId="0" fontId="32" fillId="0" borderId="0" xfId="0" applyFont="1" applyBorder="1" applyProtection="1"/>
    <xf numFmtId="0" fontId="32" fillId="0" borderId="0" xfId="0" applyFont="1" applyAlignment="1" applyProtection="1">
      <alignment horizontal="right" vertical="center"/>
    </xf>
    <xf numFmtId="0" fontId="5" fillId="0" borderId="7" xfId="0" applyFont="1" applyBorder="1" applyAlignment="1" applyProtection="1">
      <alignment horizontal="center" vertical="top"/>
    </xf>
    <xf numFmtId="0" fontId="32" fillId="0" borderId="7" xfId="0" applyFont="1" applyBorder="1" applyAlignment="1" applyProtection="1">
      <alignment horizontal="center"/>
    </xf>
    <xf numFmtId="0" fontId="31" fillId="4" borderId="4" xfId="0" applyFont="1" applyFill="1" applyBorder="1" applyAlignment="1" applyProtection="1">
      <alignment horizontal="center" wrapText="1"/>
    </xf>
    <xf numFmtId="0" fontId="31" fillId="4" borderId="5" xfId="0" applyFont="1" applyFill="1" applyBorder="1" applyAlignment="1" applyProtection="1">
      <alignment horizontal="center" wrapText="1"/>
    </xf>
    <xf numFmtId="0" fontId="31" fillId="4" borderId="5" xfId="0" applyFont="1" applyFill="1" applyBorder="1" applyAlignment="1">
      <alignment horizontal="center" wrapText="1"/>
    </xf>
    <xf numFmtId="0" fontId="31" fillId="4" borderId="10" xfId="0" applyFont="1" applyFill="1" applyBorder="1" applyAlignment="1">
      <alignment horizontal="center" wrapText="1"/>
    </xf>
    <xf numFmtId="2" fontId="0" fillId="3" borderId="5" xfId="0" applyNumberFormat="1" applyFont="1" applyFill="1" applyBorder="1" applyAlignment="1" applyProtection="1">
      <alignment horizontal="center"/>
    </xf>
    <xf numFmtId="0" fontId="15" fillId="0" borderId="9" xfId="0" applyFont="1" applyBorder="1" applyAlignment="1">
      <alignment horizontal="center" vertical="center"/>
    </xf>
    <xf numFmtId="0" fontId="15" fillId="0" borderId="8" xfId="0" applyFont="1" applyBorder="1" applyAlignment="1">
      <alignment horizontal="center" vertical="center"/>
    </xf>
    <xf numFmtId="0" fontId="15" fillId="0" borderId="10" xfId="0" applyFont="1" applyBorder="1" applyAlignment="1">
      <alignment horizontal="center" vertical="center"/>
    </xf>
    <xf numFmtId="0" fontId="15" fillId="0" borderId="2" xfId="0" applyFont="1" applyBorder="1" applyAlignment="1">
      <alignment horizontal="center" vertical="center"/>
    </xf>
    <xf numFmtId="0" fontId="15" fillId="0" borderId="1" xfId="0" applyFont="1" applyBorder="1" applyAlignment="1">
      <alignment horizontal="center" vertical="center"/>
    </xf>
    <xf numFmtId="0" fontId="15" fillId="0" borderId="3" xfId="0" applyFont="1" applyBorder="1" applyAlignment="1">
      <alignment horizontal="center" vertical="center"/>
    </xf>
    <xf numFmtId="0" fontId="16" fillId="2" borderId="11" xfId="0" applyFont="1" applyFill="1" applyBorder="1" applyAlignment="1">
      <alignment horizontal="center" vertical="center"/>
    </xf>
    <xf numFmtId="0" fontId="16" fillId="2" borderId="12" xfId="0" applyFont="1" applyFill="1" applyBorder="1" applyAlignment="1">
      <alignment horizontal="center" vertical="center"/>
    </xf>
    <xf numFmtId="0" fontId="26" fillId="0" borderId="13" xfId="0" applyFont="1" applyBorder="1" applyAlignment="1">
      <alignment horizontal="center" wrapText="1"/>
    </xf>
    <xf numFmtId="0" fontId="26" fillId="0" borderId="0" xfId="0" applyFont="1" applyBorder="1" applyAlignment="1">
      <alignment horizontal="center" wrapText="1"/>
    </xf>
    <xf numFmtId="0" fontId="30" fillId="0" borderId="9" xfId="0" applyFont="1" applyBorder="1" applyAlignment="1">
      <alignment horizontal="center" vertical="center" wrapText="1"/>
    </xf>
    <xf numFmtId="0" fontId="30" fillId="0" borderId="8" xfId="0" applyFont="1" applyBorder="1" applyAlignment="1">
      <alignment horizontal="center" vertical="center" wrapText="1"/>
    </xf>
    <xf numFmtId="0" fontId="30" fillId="0" borderId="10" xfId="0" applyFont="1" applyBorder="1" applyAlignment="1">
      <alignment horizontal="center" vertical="center" wrapText="1"/>
    </xf>
    <xf numFmtId="0" fontId="30" fillId="0" borderId="13" xfId="0" applyFont="1" applyBorder="1" applyAlignment="1">
      <alignment horizontal="center" vertical="center" wrapText="1"/>
    </xf>
    <xf numFmtId="0" fontId="30" fillId="0" borderId="0" xfId="0" applyFont="1" applyBorder="1" applyAlignment="1">
      <alignment horizontal="center" vertical="center" wrapText="1"/>
    </xf>
    <xf numFmtId="0" fontId="30" fillId="0" borderId="14" xfId="0" applyFont="1" applyBorder="1" applyAlignment="1">
      <alignment horizontal="center" vertical="center" wrapText="1"/>
    </xf>
    <xf numFmtId="0" fontId="30" fillId="0" borderId="2" xfId="0" applyFont="1" applyBorder="1" applyAlignment="1">
      <alignment horizontal="center" vertical="center" wrapText="1"/>
    </xf>
    <xf numFmtId="0" fontId="30" fillId="0" borderId="1" xfId="0" applyFont="1" applyBorder="1" applyAlignment="1">
      <alignment horizontal="center" vertical="center" wrapText="1"/>
    </xf>
    <xf numFmtId="0" fontId="30" fillId="0" borderId="3" xfId="0" applyFont="1" applyBorder="1" applyAlignment="1">
      <alignment horizontal="center" vertical="center" wrapText="1"/>
    </xf>
    <xf numFmtId="0" fontId="0" fillId="3" borderId="0" xfId="0" applyFont="1" applyFill="1" applyAlignment="1">
      <alignment horizontal="left"/>
    </xf>
    <xf numFmtId="0" fontId="2" fillId="3" borderId="15" xfId="0" applyFont="1" applyFill="1" applyBorder="1"/>
    <xf numFmtId="0" fontId="2" fillId="3" borderId="5" xfId="0" applyFont="1" applyFill="1" applyBorder="1"/>
    <xf numFmtId="0" fontId="2" fillId="3" borderId="6" xfId="0" applyFont="1" applyFill="1" applyBorder="1"/>
    <xf numFmtId="0" fontId="2" fillId="3" borderId="7" xfId="0" applyFont="1" applyFill="1" applyBorder="1"/>
    <xf numFmtId="0" fontId="2" fillId="3" borderId="11" xfId="0" applyFont="1" applyFill="1" applyBorder="1"/>
    <xf numFmtId="0" fontId="2" fillId="3" borderId="8" xfId="0" applyFont="1" applyFill="1" applyBorder="1"/>
    <xf numFmtId="0" fontId="2" fillId="3" borderId="7" xfId="0" applyFont="1" applyFill="1" applyBorder="1" applyProtection="1">
      <protection locked="0"/>
    </xf>
    <xf numFmtId="0" fontId="2" fillId="3" borderId="7" xfId="0" applyFont="1" applyFill="1" applyBorder="1" applyProtection="1"/>
    <xf numFmtId="0" fontId="2" fillId="3" borderId="4" xfId="0" applyFont="1" applyFill="1" applyBorder="1"/>
    <xf numFmtId="0" fontId="32" fillId="0" borderId="7" xfId="0" applyFont="1" applyBorder="1" applyAlignment="1" applyProtection="1">
      <alignment horizontal="center" vertical="center"/>
      <protection locked="0"/>
    </xf>
    <xf numFmtId="11" fontId="32" fillId="0" borderId="7" xfId="0" applyNumberFormat="1" applyFont="1" applyBorder="1" applyAlignment="1" applyProtection="1">
      <alignment horizontal="center" vertical="center"/>
    </xf>
    <xf numFmtId="0" fontId="32" fillId="0" borderId="7" xfId="0" applyFont="1" applyBorder="1" applyAlignment="1" applyProtection="1">
      <alignment horizontal="center" vertical="center"/>
    </xf>
    <xf numFmtId="0" fontId="32" fillId="0" borderId="7" xfId="0" quotePrefix="1" applyFont="1" applyBorder="1" applyAlignment="1" applyProtection="1">
      <alignment horizontal="center" vertical="center"/>
      <protection locked="0"/>
    </xf>
    <xf numFmtId="0" fontId="40" fillId="0" borderId="0" xfId="0" applyFont="1" applyAlignment="1" applyProtection="1">
      <alignment horizontal="center"/>
    </xf>
    <xf numFmtId="0" fontId="31" fillId="0" borderId="7" xfId="0" applyFont="1" applyBorder="1" applyAlignment="1" applyProtection="1">
      <alignment horizontal="center" vertical="center"/>
    </xf>
    <xf numFmtId="2" fontId="32" fillId="0" borderId="7" xfId="0" applyNumberFormat="1" applyFont="1" applyBorder="1" applyAlignment="1" applyProtection="1">
      <alignment horizontal="center" vertical="center"/>
    </xf>
    <xf numFmtId="0" fontId="32" fillId="0" borderId="4" xfId="0" applyFont="1" applyBorder="1" applyAlignment="1" applyProtection="1">
      <alignment horizontal="center" vertical="center"/>
      <protection locked="0"/>
    </xf>
    <xf numFmtId="0" fontId="32" fillId="0" borderId="5" xfId="0" applyFont="1" applyBorder="1" applyAlignment="1" applyProtection="1">
      <alignment horizontal="center" vertical="center"/>
      <protection locked="0"/>
    </xf>
    <xf numFmtId="0" fontId="32" fillId="0" borderId="6" xfId="0" applyFont="1" applyBorder="1" applyAlignment="1" applyProtection="1">
      <alignment horizontal="center" vertical="center"/>
      <protection locked="0"/>
    </xf>
    <xf numFmtId="0" fontId="32" fillId="0" borderId="4" xfId="0" applyFont="1" applyBorder="1" applyAlignment="1" applyProtection="1">
      <alignment horizontal="center" vertical="center"/>
    </xf>
    <xf numFmtId="0" fontId="32" fillId="0" borderId="5" xfId="0" applyFont="1" applyBorder="1" applyAlignment="1" applyProtection="1">
      <alignment horizontal="center" vertical="center"/>
    </xf>
    <xf numFmtId="0" fontId="32" fillId="0" borderId="6" xfId="0" applyFont="1" applyBorder="1" applyAlignment="1" applyProtection="1">
      <alignment horizontal="center" vertical="center"/>
    </xf>
    <xf numFmtId="0" fontId="32" fillId="0" borderId="7" xfId="0" quotePrefix="1" applyFont="1" applyBorder="1" applyAlignment="1" applyProtection="1">
      <alignment horizontal="center" vertical="center"/>
    </xf>
    <xf numFmtId="0" fontId="32" fillId="0" borderId="0" xfId="0" applyFont="1" applyAlignment="1" applyProtection="1">
      <alignment vertical="center"/>
    </xf>
    <xf numFmtId="0" fontId="31" fillId="0" borderId="4" xfId="0" applyFont="1" applyBorder="1" applyAlignment="1" applyProtection="1">
      <alignment horizontal="center" vertical="center"/>
    </xf>
    <xf numFmtId="0" fontId="31" fillId="0" borderId="6" xfId="0" applyFont="1" applyBorder="1" applyAlignment="1" applyProtection="1">
      <alignment horizontal="center" vertical="center"/>
    </xf>
    <xf numFmtId="0" fontId="32" fillId="0" borderId="4" xfId="0" applyFont="1" applyBorder="1" applyAlignment="1" applyProtection="1">
      <alignment vertical="center"/>
    </xf>
    <xf numFmtId="0" fontId="32" fillId="0" borderId="6" xfId="0" applyFont="1" applyBorder="1" applyAlignment="1" applyProtection="1">
      <alignment vertical="center"/>
    </xf>
    <xf numFmtId="0" fontId="37" fillId="0" borderId="4" xfId="0" applyFont="1" applyBorder="1" applyAlignment="1" applyProtection="1">
      <alignment vertical="center"/>
    </xf>
    <xf numFmtId="0" fontId="37" fillId="0" borderId="6" xfId="0" applyFont="1" applyBorder="1" applyAlignment="1" applyProtection="1">
      <alignment vertical="center"/>
    </xf>
    <xf numFmtId="0" fontId="5" fillId="0" borderId="4"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32" fillId="0" borderId="7" xfId="0" applyFont="1" applyBorder="1" applyAlignment="1" applyProtection="1">
      <alignment horizontal="center"/>
      <protection locked="0"/>
    </xf>
  </cellXfs>
  <cellStyles count="2">
    <cellStyle name="Normal" xfId="0" builtinId="0"/>
    <cellStyle name="Normal_CommandLineGenerator" xfId="1"/>
  </cellStyles>
  <dxfs count="2">
    <dxf>
      <font>
        <condense val="0"/>
        <extend val="0"/>
        <color rgb="FF006100"/>
      </font>
      <fill>
        <patternFill>
          <bgColor rgb="FFC6EFCE"/>
        </patternFill>
      </fill>
    </dxf>
    <dxf>
      <font>
        <condense val="0"/>
        <extend val="0"/>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2004EC"/>
      <color rgb="FF6D6D6D"/>
      <color rgb="FFFF00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latin typeface="Arial" pitchFamily="34" charset="0"/>
                <a:cs typeface="Arial" pitchFamily="34" charset="0"/>
              </a:defRPr>
            </a:pPr>
            <a:r>
              <a:rPr lang="en-US" sz="1200">
                <a:latin typeface="Arial" pitchFamily="34" charset="0"/>
                <a:cs typeface="Arial" pitchFamily="34" charset="0"/>
              </a:rPr>
              <a:t>Illumination and</a:t>
            </a:r>
            <a:r>
              <a:rPr lang="en-US" sz="1200" baseline="0">
                <a:latin typeface="Arial" pitchFamily="34" charset="0"/>
                <a:cs typeface="Arial" pitchFamily="34" charset="0"/>
              </a:rPr>
              <a:t> Photoconductance</a:t>
            </a:r>
            <a:endParaRPr lang="en-US" sz="1200">
              <a:latin typeface="Arial" pitchFamily="34" charset="0"/>
              <a:cs typeface="Arial" pitchFamily="34" charset="0"/>
            </a:endParaRPr>
          </a:p>
        </c:rich>
      </c:tx>
      <c:layout/>
      <c:overlay val="0"/>
    </c:title>
    <c:autoTitleDeleted val="0"/>
    <c:plotArea>
      <c:layout>
        <c:manualLayout>
          <c:layoutTarget val="inner"/>
          <c:xMode val="edge"/>
          <c:yMode val="edge"/>
          <c:x val="0.11180039717476002"/>
          <c:y val="0.11206623436776286"/>
          <c:w val="0.75371251343821544"/>
          <c:h val="0.74692073241282131"/>
        </c:manualLayout>
      </c:layout>
      <c:scatterChart>
        <c:scatterStyle val="lineMarker"/>
        <c:varyColors val="0"/>
        <c:ser>
          <c:idx val="0"/>
          <c:order val="0"/>
          <c:tx>
            <c:v>Light Intensity (suns)</c:v>
          </c:tx>
          <c:spPr>
            <a:ln w="28575">
              <a:solidFill>
                <a:srgbClr val="2004EC"/>
              </a:solidFill>
            </a:ln>
          </c:spPr>
          <c:marker>
            <c:symbol val="none"/>
          </c:marker>
          <c:xVal>
            <c:numRef>
              <c:f>Calc!$A$9:$A$133</c:f>
              <c:numCache>
                <c:formatCode>0.00E+00</c:formatCode>
                <c:ptCount val="125"/>
                <c:pt idx="0">
                  <c:v>4.9920000000000003E-5</c:v>
                </c:pt>
                <c:pt idx="1">
                  <c:v>1.4992E-4</c:v>
                </c:pt>
                <c:pt idx="2">
                  <c:v>2.4991999999999999E-4</c:v>
                </c:pt>
                <c:pt idx="3">
                  <c:v>3.4991999999999998E-4</c:v>
                </c:pt>
                <c:pt idx="4">
                  <c:v>4.4991999999999997E-4</c:v>
                </c:pt>
                <c:pt idx="5">
                  <c:v>5.4991999999999997E-4</c:v>
                </c:pt>
                <c:pt idx="6">
                  <c:v>6.4992000000000001E-4</c:v>
                </c:pt>
                <c:pt idx="7">
                  <c:v>7.4991999999999995E-4</c:v>
                </c:pt>
                <c:pt idx="8">
                  <c:v>8.4991999999999999E-4</c:v>
                </c:pt>
                <c:pt idx="9">
                  <c:v>9.4992000000000004E-4</c:v>
                </c:pt>
                <c:pt idx="10">
                  <c:v>1.04992E-3</c:v>
                </c:pt>
                <c:pt idx="11">
                  <c:v>1.14992E-3</c:v>
                </c:pt>
                <c:pt idx="12">
                  <c:v>1.2499200000000001E-3</c:v>
                </c:pt>
                <c:pt idx="13">
                  <c:v>1.3499199999999999E-3</c:v>
                </c:pt>
                <c:pt idx="14">
                  <c:v>1.4499199999999999E-3</c:v>
                </c:pt>
                <c:pt idx="15">
                  <c:v>1.54992E-3</c:v>
                </c:pt>
                <c:pt idx="16">
                  <c:v>1.64992E-3</c:v>
                </c:pt>
                <c:pt idx="17">
                  <c:v>1.7499200000000001E-3</c:v>
                </c:pt>
                <c:pt idx="18">
                  <c:v>1.8499199999999999E-3</c:v>
                </c:pt>
                <c:pt idx="19">
                  <c:v>1.94992E-3</c:v>
                </c:pt>
                <c:pt idx="20">
                  <c:v>2.0499200000000002E-3</c:v>
                </c:pt>
                <c:pt idx="21">
                  <c:v>2.14992E-3</c:v>
                </c:pt>
                <c:pt idx="22">
                  <c:v>2.2499199999999999E-3</c:v>
                </c:pt>
                <c:pt idx="23">
                  <c:v>2.3499200000000001E-3</c:v>
                </c:pt>
                <c:pt idx="24">
                  <c:v>2.44992E-3</c:v>
                </c:pt>
                <c:pt idx="25">
                  <c:v>2.5499199999999998E-3</c:v>
                </c:pt>
                <c:pt idx="26">
                  <c:v>2.6499200000000001E-3</c:v>
                </c:pt>
                <c:pt idx="27">
                  <c:v>2.7499199999999999E-3</c:v>
                </c:pt>
                <c:pt idx="28">
                  <c:v>2.8499200000000001E-3</c:v>
                </c:pt>
                <c:pt idx="29">
                  <c:v>2.94992E-3</c:v>
                </c:pt>
                <c:pt idx="30">
                  <c:v>3.0499199999999998E-3</c:v>
                </c:pt>
                <c:pt idx="31">
                  <c:v>3.1499200000000001E-3</c:v>
                </c:pt>
                <c:pt idx="32">
                  <c:v>3.2499199999999999E-3</c:v>
                </c:pt>
                <c:pt idx="33">
                  <c:v>3.3499200000000002E-3</c:v>
                </c:pt>
                <c:pt idx="34">
                  <c:v>3.44992E-3</c:v>
                </c:pt>
                <c:pt idx="35">
                  <c:v>3.5499199999999998E-3</c:v>
                </c:pt>
                <c:pt idx="36">
                  <c:v>3.6499200000000001E-3</c:v>
                </c:pt>
                <c:pt idx="37">
                  <c:v>3.7499199999999999E-3</c:v>
                </c:pt>
                <c:pt idx="38">
                  <c:v>3.8499200000000002E-3</c:v>
                </c:pt>
                <c:pt idx="39">
                  <c:v>3.94992E-3</c:v>
                </c:pt>
                <c:pt idx="40">
                  <c:v>4.0499200000000003E-3</c:v>
                </c:pt>
                <c:pt idx="41">
                  <c:v>4.1499199999999997E-3</c:v>
                </c:pt>
                <c:pt idx="42">
                  <c:v>4.2499199999999999E-3</c:v>
                </c:pt>
                <c:pt idx="43">
                  <c:v>4.3499200000000002E-3</c:v>
                </c:pt>
                <c:pt idx="44">
                  <c:v>4.4499199999999996E-3</c:v>
                </c:pt>
                <c:pt idx="45">
                  <c:v>4.5499199999999998E-3</c:v>
                </c:pt>
                <c:pt idx="46">
                  <c:v>4.6499200000000001E-3</c:v>
                </c:pt>
                <c:pt idx="47">
                  <c:v>4.7499200000000004E-3</c:v>
                </c:pt>
                <c:pt idx="48">
                  <c:v>4.8499199999999998E-3</c:v>
                </c:pt>
                <c:pt idx="49">
                  <c:v>4.94992E-3</c:v>
                </c:pt>
                <c:pt idx="50">
                  <c:v>5.0499200000000003E-3</c:v>
                </c:pt>
                <c:pt idx="51">
                  <c:v>5.1499199999999997E-3</c:v>
                </c:pt>
                <c:pt idx="52">
                  <c:v>5.2499199999999999E-3</c:v>
                </c:pt>
                <c:pt idx="53">
                  <c:v>5.3499200000000002E-3</c:v>
                </c:pt>
                <c:pt idx="54">
                  <c:v>5.4499199999999996E-3</c:v>
                </c:pt>
                <c:pt idx="55">
                  <c:v>5.5499199999999999E-3</c:v>
                </c:pt>
                <c:pt idx="56">
                  <c:v>5.6499200000000001E-3</c:v>
                </c:pt>
                <c:pt idx="57">
                  <c:v>5.7499200000000004E-3</c:v>
                </c:pt>
                <c:pt idx="58">
                  <c:v>5.8499199999999998E-3</c:v>
                </c:pt>
                <c:pt idx="59">
                  <c:v>5.94992E-3</c:v>
                </c:pt>
                <c:pt idx="60">
                  <c:v>6.0499200000000003E-3</c:v>
                </c:pt>
                <c:pt idx="61">
                  <c:v>6.1499199999999997E-3</c:v>
                </c:pt>
                <c:pt idx="62">
                  <c:v>6.24992E-3</c:v>
                </c:pt>
                <c:pt idx="63">
                  <c:v>6.3499200000000002E-3</c:v>
                </c:pt>
                <c:pt idx="64">
                  <c:v>6.4499199999999996E-3</c:v>
                </c:pt>
                <c:pt idx="65">
                  <c:v>6.5499199999999999E-3</c:v>
                </c:pt>
                <c:pt idx="66">
                  <c:v>6.6499200000000001E-3</c:v>
                </c:pt>
                <c:pt idx="67">
                  <c:v>6.7499200000000004E-3</c:v>
                </c:pt>
                <c:pt idx="68">
                  <c:v>6.8499199999999998E-3</c:v>
                </c:pt>
                <c:pt idx="69">
                  <c:v>6.9499200000000001E-3</c:v>
                </c:pt>
                <c:pt idx="70">
                  <c:v>7.0499200000000003E-3</c:v>
                </c:pt>
                <c:pt idx="71">
                  <c:v>7.1499199999999997E-3</c:v>
                </c:pt>
                <c:pt idx="72">
                  <c:v>7.24992E-3</c:v>
                </c:pt>
                <c:pt idx="73">
                  <c:v>7.3499200000000002E-3</c:v>
                </c:pt>
                <c:pt idx="74">
                  <c:v>7.4499199999999996E-3</c:v>
                </c:pt>
                <c:pt idx="75">
                  <c:v>7.5499199999999999E-3</c:v>
                </c:pt>
                <c:pt idx="76">
                  <c:v>7.6499200000000002E-3</c:v>
                </c:pt>
                <c:pt idx="77">
                  <c:v>7.7499200000000004E-3</c:v>
                </c:pt>
                <c:pt idx="78">
                  <c:v>7.8499199999999998E-3</c:v>
                </c:pt>
                <c:pt idx="79">
                  <c:v>7.9499199999999992E-3</c:v>
                </c:pt>
                <c:pt idx="80">
                  <c:v>8.0499200000000003E-3</c:v>
                </c:pt>
                <c:pt idx="81">
                  <c:v>8.1499199999999997E-3</c:v>
                </c:pt>
                <c:pt idx="82">
                  <c:v>8.2499200000000009E-3</c:v>
                </c:pt>
                <c:pt idx="83">
                  <c:v>8.3499200000000003E-3</c:v>
                </c:pt>
                <c:pt idx="84">
                  <c:v>8.4499199999999997E-3</c:v>
                </c:pt>
                <c:pt idx="85">
                  <c:v>8.5499200000000008E-3</c:v>
                </c:pt>
                <c:pt idx="86">
                  <c:v>8.6499200000000002E-3</c:v>
                </c:pt>
                <c:pt idx="87">
                  <c:v>8.7499199999999996E-3</c:v>
                </c:pt>
                <c:pt idx="88">
                  <c:v>8.8499200000000007E-3</c:v>
                </c:pt>
                <c:pt idx="89">
                  <c:v>8.9499200000000001E-3</c:v>
                </c:pt>
                <c:pt idx="90">
                  <c:v>9.0499199999999995E-3</c:v>
                </c:pt>
                <c:pt idx="91">
                  <c:v>9.1499200000000006E-3</c:v>
                </c:pt>
                <c:pt idx="92">
                  <c:v>9.24992E-3</c:v>
                </c:pt>
                <c:pt idx="93">
                  <c:v>9.3499199999999994E-3</c:v>
                </c:pt>
                <c:pt idx="94">
                  <c:v>9.4499200000000005E-3</c:v>
                </c:pt>
                <c:pt idx="95">
                  <c:v>9.5499199999999999E-3</c:v>
                </c:pt>
                <c:pt idx="96">
                  <c:v>9.6499199999999993E-3</c:v>
                </c:pt>
                <c:pt idx="97">
                  <c:v>9.7499200000000005E-3</c:v>
                </c:pt>
                <c:pt idx="98">
                  <c:v>9.8499199999999999E-3</c:v>
                </c:pt>
                <c:pt idx="99">
                  <c:v>9.9499199999999993E-3</c:v>
                </c:pt>
                <c:pt idx="100">
                  <c:v>1.00499E-2</c:v>
                </c:pt>
                <c:pt idx="101">
                  <c:v>1.01499E-2</c:v>
                </c:pt>
                <c:pt idx="102">
                  <c:v>1.0249899999999999E-2</c:v>
                </c:pt>
                <c:pt idx="103">
                  <c:v>1.03499E-2</c:v>
                </c:pt>
                <c:pt idx="104">
                  <c:v>1.04499E-2</c:v>
                </c:pt>
                <c:pt idx="105">
                  <c:v>1.0549899999999999E-2</c:v>
                </c:pt>
                <c:pt idx="106">
                  <c:v>1.06499E-2</c:v>
                </c:pt>
                <c:pt idx="107">
                  <c:v>1.07499E-2</c:v>
                </c:pt>
                <c:pt idx="108">
                  <c:v>1.0849900000000001E-2</c:v>
                </c:pt>
                <c:pt idx="109">
                  <c:v>1.09499E-2</c:v>
                </c:pt>
                <c:pt idx="110">
                  <c:v>1.10499E-2</c:v>
                </c:pt>
                <c:pt idx="111">
                  <c:v>1.1149900000000001E-2</c:v>
                </c:pt>
                <c:pt idx="112">
                  <c:v>1.12499E-2</c:v>
                </c:pt>
                <c:pt idx="113">
                  <c:v>1.13499E-2</c:v>
                </c:pt>
                <c:pt idx="114">
                  <c:v>1.1449900000000001E-2</c:v>
                </c:pt>
                <c:pt idx="115">
                  <c:v>1.15499E-2</c:v>
                </c:pt>
                <c:pt idx="116">
                  <c:v>1.1649899999999999E-2</c:v>
                </c:pt>
                <c:pt idx="117">
                  <c:v>1.1749900000000001E-2</c:v>
                </c:pt>
                <c:pt idx="118">
                  <c:v>1.18499E-2</c:v>
                </c:pt>
                <c:pt idx="119">
                  <c:v>1.1949899999999999E-2</c:v>
                </c:pt>
                <c:pt idx="120">
                  <c:v>1.2049900000000001E-2</c:v>
                </c:pt>
                <c:pt idx="121">
                  <c:v>1.21499E-2</c:v>
                </c:pt>
                <c:pt idx="122">
                  <c:v>1.2249899999999999E-2</c:v>
                </c:pt>
                <c:pt idx="123">
                  <c:v>1.23499E-2</c:v>
                </c:pt>
                <c:pt idx="124">
                  <c:v>1.24499E-2</c:v>
                </c:pt>
              </c:numCache>
            </c:numRef>
          </c:xVal>
          <c:yVal>
            <c:numRef>
              <c:f>Calc!$D$9:$D$133</c:f>
              <c:numCache>
                <c:formatCode>0.00</c:formatCode>
                <c:ptCount val="125"/>
                <c:pt idx="0">
                  <c:v>15.350713084502495</c:v>
                </c:pt>
                <c:pt idx="1">
                  <c:v>9.5618693437613729</c:v>
                </c:pt>
                <c:pt idx="2">
                  <c:v>0.30070792021258219</c:v>
                </c:pt>
                <c:pt idx="3">
                  <c:v>1.0000000000000001E-5</c:v>
                </c:pt>
                <c:pt idx="4">
                  <c:v>1.5354582570872893E-2</c:v>
                </c:pt>
                <c:pt idx="5">
                  <c:v>5.8373689424384536E-3</c:v>
                </c:pt>
                <c:pt idx="6">
                  <c:v>3.3127778384499373E-3</c:v>
                </c:pt>
                <c:pt idx="7">
                  <c:v>1.7922631692026078E-3</c:v>
                </c:pt>
                <c:pt idx="8">
                  <c:v>5.4705969129015795E-4</c:v>
                </c:pt>
                <c:pt idx="9">
                  <c:v>1.0000000000000001E-5</c:v>
                </c:pt>
                <c:pt idx="10">
                  <c:v>5.4016555640690149E-5</c:v>
                </c:pt>
                <c:pt idx="11">
                  <c:v>4.4629181706108082E-4</c:v>
                </c:pt>
                <c:pt idx="12">
                  <c:v>1.0000000000000001E-5</c:v>
                </c:pt>
                <c:pt idx="13">
                  <c:v>1.0000000000000001E-5</c:v>
                </c:pt>
                <c:pt idx="14">
                  <c:v>1.0000000000000001E-5</c:v>
                </c:pt>
                <c:pt idx="15">
                  <c:v>1.0000000000000001E-5</c:v>
                </c:pt>
                <c:pt idx="16">
                  <c:v>1.0000000000000001E-5</c:v>
                </c:pt>
                <c:pt idx="17">
                  <c:v>1.0000000000000001E-5</c:v>
                </c:pt>
                <c:pt idx="18">
                  <c:v>1.0830323828228511E-5</c:v>
                </c:pt>
                <c:pt idx="19">
                  <c:v>1.0000000000000001E-5</c:v>
                </c:pt>
                <c:pt idx="20">
                  <c:v>1.0000000000000001E-5</c:v>
                </c:pt>
                <c:pt idx="21">
                  <c:v>1.0000000000000001E-5</c:v>
                </c:pt>
                <c:pt idx="22">
                  <c:v>1.0000000000000001E-5</c:v>
                </c:pt>
                <c:pt idx="23">
                  <c:v>1.0000000000000001E-5</c:v>
                </c:pt>
                <c:pt idx="24">
                  <c:v>1.0000000000000001E-5</c:v>
                </c:pt>
                <c:pt idx="25">
                  <c:v>1.0000000000000001E-5</c:v>
                </c:pt>
                <c:pt idx="26">
                  <c:v>1.0000000000000001E-5</c:v>
                </c:pt>
                <c:pt idx="27">
                  <c:v>1.0000000000000001E-5</c:v>
                </c:pt>
                <c:pt idx="28">
                  <c:v>9.8251786782040714E-4</c:v>
                </c:pt>
                <c:pt idx="29">
                  <c:v>8.295690485802538E-4</c:v>
                </c:pt>
                <c:pt idx="30">
                  <c:v>8.4216514802217316E-4</c:v>
                </c:pt>
                <c:pt idx="31">
                  <c:v>1.0652972369585337E-3</c:v>
                </c:pt>
                <c:pt idx="32">
                  <c:v>3.6891590924732965E-4</c:v>
                </c:pt>
                <c:pt idx="33">
                  <c:v>1.1192765718255656E-3</c:v>
                </c:pt>
                <c:pt idx="34">
                  <c:v>1.3262111750767017E-3</c:v>
                </c:pt>
                <c:pt idx="35">
                  <c:v>4.9667529352248011E-4</c:v>
                </c:pt>
                <c:pt idx="36">
                  <c:v>1.5601400522927474E-3</c:v>
                </c:pt>
                <c:pt idx="37">
                  <c:v>1.0760949465444974E-3</c:v>
                </c:pt>
                <c:pt idx="38">
                  <c:v>7.0720851909808501E-4</c:v>
                </c:pt>
                <c:pt idx="39">
                  <c:v>1.0077155945419183E-3</c:v>
                </c:pt>
                <c:pt idx="40">
                  <c:v>5.2186749240631903E-4</c:v>
                </c:pt>
                <c:pt idx="41">
                  <c:v>3.4012508803902186E-4</c:v>
                </c:pt>
                <c:pt idx="42">
                  <c:v>9.2853853295337514E-4</c:v>
                </c:pt>
                <c:pt idx="43">
                  <c:v>1.356798543528408E-3</c:v>
                </c:pt>
                <c:pt idx="44">
                  <c:v>9.5553280691828451E-4</c:v>
                </c:pt>
                <c:pt idx="45">
                  <c:v>9.8251786782040714E-4</c:v>
                </c:pt>
                <c:pt idx="46">
                  <c:v>7.0900783026031948E-4</c:v>
                </c:pt>
                <c:pt idx="47">
                  <c:v>4.6968378347640673E-4</c:v>
                </c:pt>
                <c:pt idx="48">
                  <c:v>3.70715220409564E-4</c:v>
                </c:pt>
                <c:pt idx="49">
                  <c:v>8.0617708216492779E-4</c:v>
                </c:pt>
                <c:pt idx="50">
                  <c:v>7.3959796263086167E-4</c:v>
                </c:pt>
                <c:pt idx="51">
                  <c:v>4.0850351873532244E-4</c:v>
                </c:pt>
                <c:pt idx="52">
                  <c:v>8.8715069099686928E-4</c:v>
                </c:pt>
                <c:pt idx="53">
                  <c:v>6.1543720068017987E-4</c:v>
                </c:pt>
                <c:pt idx="54">
                  <c:v>4.7508263826938856E-4</c:v>
                </c:pt>
                <c:pt idx="55">
                  <c:v>9.8612017536999072E-4</c:v>
                </c:pt>
                <c:pt idx="56">
                  <c:v>5.0417749054965612E-5</c:v>
                </c:pt>
                <c:pt idx="57">
                  <c:v>1.0000000000000001E-5</c:v>
                </c:pt>
                <c:pt idx="58">
                  <c:v>1.0000000000000001E-5</c:v>
                </c:pt>
                <c:pt idx="59">
                  <c:v>1.0000000000000001E-5</c:v>
                </c:pt>
                <c:pt idx="60">
                  <c:v>1.3499071725639876E-4</c:v>
                </c:pt>
                <c:pt idx="61">
                  <c:v>1.0000000000000001E-5</c:v>
                </c:pt>
                <c:pt idx="62">
                  <c:v>1.0000000000000001E-5</c:v>
                </c:pt>
                <c:pt idx="63">
                  <c:v>1.0000000000000001E-5</c:v>
                </c:pt>
                <c:pt idx="64">
                  <c:v>1.4989561023265486E-3</c:v>
                </c:pt>
                <c:pt idx="65">
                  <c:v>1.952413839623092E-3</c:v>
                </c:pt>
                <c:pt idx="66">
                  <c:v>1.1606616498632356E-3</c:v>
                </c:pt>
                <c:pt idx="67">
                  <c:v>8.8895000215910363E-4</c:v>
                </c:pt>
                <c:pt idx="68">
                  <c:v>1.4881583927405845E-3</c:v>
                </c:pt>
                <c:pt idx="69">
                  <c:v>1.2830203367328469E-3</c:v>
                </c:pt>
                <c:pt idx="70">
                  <c:v>1.0814845882746926E-3</c:v>
                </c:pt>
                <c:pt idx="71">
                  <c:v>1.0778914937878959E-3</c:v>
                </c:pt>
                <c:pt idx="72">
                  <c:v>1.1228788793751492E-3</c:v>
                </c:pt>
                <c:pt idx="73">
                  <c:v>1.3316100298696838E-3</c:v>
                </c:pt>
                <c:pt idx="74">
                  <c:v>1.3298134826262853E-3</c:v>
                </c:pt>
                <c:pt idx="75">
                  <c:v>8.0437777100269344E-4</c:v>
                </c:pt>
                <c:pt idx="76">
                  <c:v>2.8824633148734793E-5</c:v>
                </c:pt>
                <c:pt idx="77">
                  <c:v>1.0000000000000001E-5</c:v>
                </c:pt>
                <c:pt idx="78">
                  <c:v>1.0000000000000001E-5</c:v>
                </c:pt>
                <c:pt idx="79">
                  <c:v>1.0000000000000001E-5</c:v>
                </c:pt>
                <c:pt idx="80">
                  <c:v>1.0000000000000001E-5</c:v>
                </c:pt>
                <c:pt idx="81">
                  <c:v>1.0000000000000001E-5</c:v>
                </c:pt>
                <c:pt idx="82">
                  <c:v>1.0000000000000001E-5</c:v>
                </c:pt>
                <c:pt idx="83">
                  <c:v>9.5013395212530268E-4</c:v>
                </c:pt>
                <c:pt idx="84">
                  <c:v>1.7058907055776844E-3</c:v>
                </c:pt>
                <c:pt idx="85">
                  <c:v>1.5799297111584898E-3</c:v>
                </c:pt>
                <c:pt idx="86">
                  <c:v>1.9272161129015811E-3</c:v>
                </c:pt>
                <c:pt idx="87">
                  <c:v>1.5925239679878518E-3</c:v>
                </c:pt>
                <c:pt idx="88">
                  <c:v>7.3599934030639286E-4</c:v>
                </c:pt>
                <c:pt idx="89">
                  <c:v>1.5295434707782547E-3</c:v>
                </c:pt>
                <c:pt idx="90">
                  <c:v>1.6609033199904311E-3</c:v>
                </c:pt>
                <c:pt idx="91">
                  <c:v>1.3855893647367157E-3</c:v>
                </c:pt>
                <c:pt idx="92">
                  <c:v>1.3729951079073535E-3</c:v>
                </c:pt>
                <c:pt idx="93">
                  <c:v>1.146270845790475E-3</c:v>
                </c:pt>
                <c:pt idx="94">
                  <c:v>4.7148309463864113E-4</c:v>
                </c:pt>
                <c:pt idx="95">
                  <c:v>6.9641173081839991E-4</c:v>
                </c:pt>
                <c:pt idx="96">
                  <c:v>3.6531728692286078E-4</c:v>
                </c:pt>
                <c:pt idx="97">
                  <c:v>1.3100146106977562E-3</c:v>
                </c:pt>
                <c:pt idx="98">
                  <c:v>1.3586043038345931E-3</c:v>
                </c:pt>
                <c:pt idx="99">
                  <c:v>1.6537079179540508E-3</c:v>
                </c:pt>
                <c:pt idx="100">
                  <c:v>1.6177216947093629E-3</c:v>
                </c:pt>
                <c:pt idx="101">
                  <c:v>7.377986514686271E-4</c:v>
                </c:pt>
                <c:pt idx="102">
                  <c:v>1.0005109794427511E-3</c:v>
                </c:pt>
                <c:pt idx="103">
                  <c:v>1.0000000000000001E-5</c:v>
                </c:pt>
                <c:pt idx="104">
                  <c:v>1.0000000000000001E-5</c:v>
                </c:pt>
                <c:pt idx="105">
                  <c:v>1.0000000000000001E-5</c:v>
                </c:pt>
                <c:pt idx="106">
                  <c:v>1.0000000000000001E-5</c:v>
                </c:pt>
                <c:pt idx="107">
                  <c:v>1.0000000000000001E-5</c:v>
                </c:pt>
                <c:pt idx="108">
                  <c:v>1.0000000000000001E-5</c:v>
                </c:pt>
                <c:pt idx="109">
                  <c:v>1.0000000000000001E-5</c:v>
                </c:pt>
                <c:pt idx="110">
                  <c:v>1.0000000000000001E-5</c:v>
                </c:pt>
                <c:pt idx="111">
                  <c:v>2.7714551213570311E-4</c:v>
                </c:pt>
                <c:pt idx="112">
                  <c:v>3.1673312162369596E-4</c:v>
                </c:pt>
                <c:pt idx="113">
                  <c:v>1.0000000000000001E-5</c:v>
                </c:pt>
                <c:pt idx="114">
                  <c:v>7.0001035314286872E-4</c:v>
                </c:pt>
                <c:pt idx="115">
                  <c:v>1.0000000000000001E-5</c:v>
                </c:pt>
                <c:pt idx="116">
                  <c:v>1.0000000000000001E-5</c:v>
                </c:pt>
                <c:pt idx="117">
                  <c:v>1.0000000000000001E-5</c:v>
                </c:pt>
                <c:pt idx="118">
                  <c:v>1.0000000000000001E-5</c:v>
                </c:pt>
                <c:pt idx="119">
                  <c:v>1.0000000000000001E-5</c:v>
                </c:pt>
                <c:pt idx="120">
                  <c:v>1.0000000000000001E-5</c:v>
                </c:pt>
                <c:pt idx="121">
                  <c:v>1.0000000000000001E-5</c:v>
                </c:pt>
                <c:pt idx="122">
                  <c:v>1.0000000000000001E-5</c:v>
                </c:pt>
                <c:pt idx="123">
                  <c:v>1.0000000000000001E-5</c:v>
                </c:pt>
                <c:pt idx="124">
                  <c:v>1.0000000000000001E-5</c:v>
                </c:pt>
              </c:numCache>
            </c:numRef>
          </c:yVal>
          <c:smooth val="0"/>
        </c:ser>
        <c:dLbls>
          <c:showLegendKey val="0"/>
          <c:showVal val="0"/>
          <c:showCatName val="0"/>
          <c:showSerName val="0"/>
          <c:showPercent val="0"/>
          <c:showBubbleSize val="0"/>
        </c:dLbls>
        <c:axId val="113794368"/>
        <c:axId val="113793216"/>
      </c:scatterChart>
      <c:scatterChart>
        <c:scatterStyle val="lineMarker"/>
        <c:varyColors val="0"/>
        <c:ser>
          <c:idx val="1"/>
          <c:order val="1"/>
          <c:tx>
            <c:v>Photoconductance (Siemens)</c:v>
          </c:tx>
          <c:spPr>
            <a:ln w="28575">
              <a:solidFill>
                <a:srgbClr val="FF0000"/>
              </a:solidFill>
            </a:ln>
          </c:spPr>
          <c:marker>
            <c:symbol val="none"/>
          </c:marker>
          <c:xVal>
            <c:numRef>
              <c:f>Calc!$A$9:$A$133</c:f>
              <c:numCache>
                <c:formatCode>0.00E+00</c:formatCode>
                <c:ptCount val="125"/>
                <c:pt idx="0">
                  <c:v>4.9920000000000003E-5</c:v>
                </c:pt>
                <c:pt idx="1">
                  <c:v>1.4992E-4</c:v>
                </c:pt>
                <c:pt idx="2">
                  <c:v>2.4991999999999999E-4</c:v>
                </c:pt>
                <c:pt idx="3">
                  <c:v>3.4991999999999998E-4</c:v>
                </c:pt>
                <c:pt idx="4">
                  <c:v>4.4991999999999997E-4</c:v>
                </c:pt>
                <c:pt idx="5">
                  <c:v>5.4991999999999997E-4</c:v>
                </c:pt>
                <c:pt idx="6">
                  <c:v>6.4992000000000001E-4</c:v>
                </c:pt>
                <c:pt idx="7">
                  <c:v>7.4991999999999995E-4</c:v>
                </c:pt>
                <c:pt idx="8">
                  <c:v>8.4991999999999999E-4</c:v>
                </c:pt>
                <c:pt idx="9">
                  <c:v>9.4992000000000004E-4</c:v>
                </c:pt>
                <c:pt idx="10">
                  <c:v>1.04992E-3</c:v>
                </c:pt>
                <c:pt idx="11">
                  <c:v>1.14992E-3</c:v>
                </c:pt>
                <c:pt idx="12">
                  <c:v>1.2499200000000001E-3</c:v>
                </c:pt>
                <c:pt idx="13">
                  <c:v>1.3499199999999999E-3</c:v>
                </c:pt>
                <c:pt idx="14">
                  <c:v>1.4499199999999999E-3</c:v>
                </c:pt>
                <c:pt idx="15">
                  <c:v>1.54992E-3</c:v>
                </c:pt>
                <c:pt idx="16">
                  <c:v>1.64992E-3</c:v>
                </c:pt>
                <c:pt idx="17">
                  <c:v>1.7499200000000001E-3</c:v>
                </c:pt>
                <c:pt idx="18">
                  <c:v>1.8499199999999999E-3</c:v>
                </c:pt>
                <c:pt idx="19">
                  <c:v>1.94992E-3</c:v>
                </c:pt>
                <c:pt idx="20">
                  <c:v>2.0499200000000002E-3</c:v>
                </c:pt>
                <c:pt idx="21">
                  <c:v>2.14992E-3</c:v>
                </c:pt>
                <c:pt idx="22">
                  <c:v>2.2499199999999999E-3</c:v>
                </c:pt>
                <c:pt idx="23">
                  <c:v>2.3499200000000001E-3</c:v>
                </c:pt>
                <c:pt idx="24">
                  <c:v>2.44992E-3</c:v>
                </c:pt>
                <c:pt idx="25">
                  <c:v>2.5499199999999998E-3</c:v>
                </c:pt>
                <c:pt idx="26">
                  <c:v>2.6499200000000001E-3</c:v>
                </c:pt>
                <c:pt idx="27">
                  <c:v>2.7499199999999999E-3</c:v>
                </c:pt>
                <c:pt idx="28">
                  <c:v>2.8499200000000001E-3</c:v>
                </c:pt>
                <c:pt idx="29">
                  <c:v>2.94992E-3</c:v>
                </c:pt>
                <c:pt idx="30">
                  <c:v>3.0499199999999998E-3</c:v>
                </c:pt>
                <c:pt idx="31">
                  <c:v>3.1499200000000001E-3</c:v>
                </c:pt>
                <c:pt idx="32">
                  <c:v>3.2499199999999999E-3</c:v>
                </c:pt>
                <c:pt idx="33">
                  <c:v>3.3499200000000002E-3</c:v>
                </c:pt>
                <c:pt idx="34">
                  <c:v>3.44992E-3</c:v>
                </c:pt>
                <c:pt idx="35">
                  <c:v>3.5499199999999998E-3</c:v>
                </c:pt>
                <c:pt idx="36">
                  <c:v>3.6499200000000001E-3</c:v>
                </c:pt>
                <c:pt idx="37">
                  <c:v>3.7499199999999999E-3</c:v>
                </c:pt>
                <c:pt idx="38">
                  <c:v>3.8499200000000002E-3</c:v>
                </c:pt>
                <c:pt idx="39">
                  <c:v>3.94992E-3</c:v>
                </c:pt>
                <c:pt idx="40">
                  <c:v>4.0499200000000003E-3</c:v>
                </c:pt>
                <c:pt idx="41">
                  <c:v>4.1499199999999997E-3</c:v>
                </c:pt>
                <c:pt idx="42">
                  <c:v>4.2499199999999999E-3</c:v>
                </c:pt>
                <c:pt idx="43">
                  <c:v>4.3499200000000002E-3</c:v>
                </c:pt>
                <c:pt idx="44">
                  <c:v>4.4499199999999996E-3</c:v>
                </c:pt>
                <c:pt idx="45">
                  <c:v>4.5499199999999998E-3</c:v>
                </c:pt>
                <c:pt idx="46">
                  <c:v>4.6499200000000001E-3</c:v>
                </c:pt>
                <c:pt idx="47">
                  <c:v>4.7499200000000004E-3</c:v>
                </c:pt>
                <c:pt idx="48">
                  <c:v>4.8499199999999998E-3</c:v>
                </c:pt>
                <c:pt idx="49">
                  <c:v>4.94992E-3</c:v>
                </c:pt>
                <c:pt idx="50">
                  <c:v>5.0499200000000003E-3</c:v>
                </c:pt>
                <c:pt idx="51">
                  <c:v>5.1499199999999997E-3</c:v>
                </c:pt>
                <c:pt idx="52">
                  <c:v>5.2499199999999999E-3</c:v>
                </c:pt>
                <c:pt idx="53">
                  <c:v>5.3499200000000002E-3</c:v>
                </c:pt>
                <c:pt idx="54">
                  <c:v>5.4499199999999996E-3</c:v>
                </c:pt>
                <c:pt idx="55">
                  <c:v>5.5499199999999999E-3</c:v>
                </c:pt>
                <c:pt idx="56">
                  <c:v>5.6499200000000001E-3</c:v>
                </c:pt>
                <c:pt idx="57">
                  <c:v>5.7499200000000004E-3</c:v>
                </c:pt>
                <c:pt idx="58">
                  <c:v>5.8499199999999998E-3</c:v>
                </c:pt>
                <c:pt idx="59">
                  <c:v>5.94992E-3</c:v>
                </c:pt>
                <c:pt idx="60">
                  <c:v>6.0499200000000003E-3</c:v>
                </c:pt>
                <c:pt idx="61">
                  <c:v>6.1499199999999997E-3</c:v>
                </c:pt>
                <c:pt idx="62">
                  <c:v>6.24992E-3</c:v>
                </c:pt>
                <c:pt idx="63">
                  <c:v>6.3499200000000002E-3</c:v>
                </c:pt>
                <c:pt idx="64">
                  <c:v>6.4499199999999996E-3</c:v>
                </c:pt>
                <c:pt idx="65">
                  <c:v>6.5499199999999999E-3</c:v>
                </c:pt>
                <c:pt idx="66">
                  <c:v>6.6499200000000001E-3</c:v>
                </c:pt>
                <c:pt idx="67">
                  <c:v>6.7499200000000004E-3</c:v>
                </c:pt>
                <c:pt idx="68">
                  <c:v>6.8499199999999998E-3</c:v>
                </c:pt>
                <c:pt idx="69">
                  <c:v>6.9499200000000001E-3</c:v>
                </c:pt>
                <c:pt idx="70">
                  <c:v>7.0499200000000003E-3</c:v>
                </c:pt>
                <c:pt idx="71">
                  <c:v>7.1499199999999997E-3</c:v>
                </c:pt>
                <c:pt idx="72">
                  <c:v>7.24992E-3</c:v>
                </c:pt>
                <c:pt idx="73">
                  <c:v>7.3499200000000002E-3</c:v>
                </c:pt>
                <c:pt idx="74">
                  <c:v>7.4499199999999996E-3</c:v>
                </c:pt>
                <c:pt idx="75">
                  <c:v>7.5499199999999999E-3</c:v>
                </c:pt>
                <c:pt idx="76">
                  <c:v>7.6499200000000002E-3</c:v>
                </c:pt>
                <c:pt idx="77">
                  <c:v>7.7499200000000004E-3</c:v>
                </c:pt>
                <c:pt idx="78">
                  <c:v>7.8499199999999998E-3</c:v>
                </c:pt>
                <c:pt idx="79">
                  <c:v>7.9499199999999992E-3</c:v>
                </c:pt>
                <c:pt idx="80">
                  <c:v>8.0499200000000003E-3</c:v>
                </c:pt>
                <c:pt idx="81">
                  <c:v>8.1499199999999997E-3</c:v>
                </c:pt>
                <c:pt idx="82">
                  <c:v>8.2499200000000009E-3</c:v>
                </c:pt>
                <c:pt idx="83">
                  <c:v>8.3499200000000003E-3</c:v>
                </c:pt>
                <c:pt idx="84">
                  <c:v>8.4499199999999997E-3</c:v>
                </c:pt>
                <c:pt idx="85">
                  <c:v>8.5499200000000008E-3</c:v>
                </c:pt>
                <c:pt idx="86">
                  <c:v>8.6499200000000002E-3</c:v>
                </c:pt>
                <c:pt idx="87">
                  <c:v>8.7499199999999996E-3</c:v>
                </c:pt>
                <c:pt idx="88">
                  <c:v>8.8499200000000007E-3</c:v>
                </c:pt>
                <c:pt idx="89">
                  <c:v>8.9499200000000001E-3</c:v>
                </c:pt>
                <c:pt idx="90">
                  <c:v>9.0499199999999995E-3</c:v>
                </c:pt>
                <c:pt idx="91">
                  <c:v>9.1499200000000006E-3</c:v>
                </c:pt>
                <c:pt idx="92">
                  <c:v>9.24992E-3</c:v>
                </c:pt>
                <c:pt idx="93">
                  <c:v>9.3499199999999994E-3</c:v>
                </c:pt>
                <c:pt idx="94">
                  <c:v>9.4499200000000005E-3</c:v>
                </c:pt>
                <c:pt idx="95">
                  <c:v>9.5499199999999999E-3</c:v>
                </c:pt>
                <c:pt idx="96">
                  <c:v>9.6499199999999993E-3</c:v>
                </c:pt>
                <c:pt idx="97">
                  <c:v>9.7499200000000005E-3</c:v>
                </c:pt>
                <c:pt idx="98">
                  <c:v>9.8499199999999999E-3</c:v>
                </c:pt>
                <c:pt idx="99">
                  <c:v>9.9499199999999993E-3</c:v>
                </c:pt>
                <c:pt idx="100">
                  <c:v>1.00499E-2</c:v>
                </c:pt>
                <c:pt idx="101">
                  <c:v>1.01499E-2</c:v>
                </c:pt>
                <c:pt idx="102">
                  <c:v>1.0249899999999999E-2</c:v>
                </c:pt>
                <c:pt idx="103">
                  <c:v>1.03499E-2</c:v>
                </c:pt>
                <c:pt idx="104">
                  <c:v>1.04499E-2</c:v>
                </c:pt>
                <c:pt idx="105">
                  <c:v>1.0549899999999999E-2</c:v>
                </c:pt>
                <c:pt idx="106">
                  <c:v>1.06499E-2</c:v>
                </c:pt>
                <c:pt idx="107">
                  <c:v>1.07499E-2</c:v>
                </c:pt>
                <c:pt idx="108">
                  <c:v>1.0849900000000001E-2</c:v>
                </c:pt>
                <c:pt idx="109">
                  <c:v>1.09499E-2</c:v>
                </c:pt>
                <c:pt idx="110">
                  <c:v>1.10499E-2</c:v>
                </c:pt>
                <c:pt idx="111">
                  <c:v>1.1149900000000001E-2</c:v>
                </c:pt>
                <c:pt idx="112">
                  <c:v>1.12499E-2</c:v>
                </c:pt>
                <c:pt idx="113">
                  <c:v>1.13499E-2</c:v>
                </c:pt>
                <c:pt idx="114">
                  <c:v>1.1449900000000001E-2</c:v>
                </c:pt>
                <c:pt idx="115">
                  <c:v>1.15499E-2</c:v>
                </c:pt>
                <c:pt idx="116">
                  <c:v>1.1649899999999999E-2</c:v>
                </c:pt>
                <c:pt idx="117">
                  <c:v>1.1749900000000001E-2</c:v>
                </c:pt>
                <c:pt idx="118">
                  <c:v>1.18499E-2</c:v>
                </c:pt>
                <c:pt idx="119">
                  <c:v>1.1949899999999999E-2</c:v>
                </c:pt>
                <c:pt idx="120">
                  <c:v>1.2049900000000001E-2</c:v>
                </c:pt>
                <c:pt idx="121">
                  <c:v>1.21499E-2</c:v>
                </c:pt>
                <c:pt idx="122">
                  <c:v>1.2249899999999999E-2</c:v>
                </c:pt>
                <c:pt idx="123">
                  <c:v>1.23499E-2</c:v>
                </c:pt>
                <c:pt idx="124">
                  <c:v>1.24499E-2</c:v>
                </c:pt>
              </c:numCache>
            </c:numRef>
          </c:xVal>
          <c:yVal>
            <c:numRef>
              <c:f>Calc!$F$9:$F$133</c:f>
              <c:numCache>
                <c:formatCode>0.000E+00</c:formatCode>
                <c:ptCount val="125"/>
                <c:pt idx="0">
                  <c:v>4.9766001573901333E-2</c:v>
                </c:pt>
                <c:pt idx="1">
                  <c:v>0.1433083420944499</c:v>
                </c:pt>
                <c:pt idx="2">
                  <c:v>0.10271664980282566</c:v>
                </c:pt>
                <c:pt idx="3">
                  <c:v>7.3857193609617539E-2</c:v>
                </c:pt>
                <c:pt idx="4">
                  <c:v>5.6938063087729668E-2</c:v>
                </c:pt>
                <c:pt idx="5">
                  <c:v>4.606539518335194E-2</c:v>
                </c:pt>
                <c:pt idx="6">
                  <c:v>3.8537455044555136E-2</c:v>
                </c:pt>
                <c:pt idx="7">
                  <c:v>3.3012636342588539E-2</c:v>
                </c:pt>
                <c:pt idx="8">
                  <c:v>2.8778849663560424E-2</c:v>
                </c:pt>
                <c:pt idx="9">
                  <c:v>2.5447859020269303E-2</c:v>
                </c:pt>
                <c:pt idx="10">
                  <c:v>2.2760650270463811E-2</c:v>
                </c:pt>
                <c:pt idx="11">
                  <c:v>2.0545969356716071E-2</c:v>
                </c:pt>
                <c:pt idx="12">
                  <c:v>1.8692638134298639E-2</c:v>
                </c:pt>
                <c:pt idx="13">
                  <c:v>1.7122186936535153E-2</c:v>
                </c:pt>
                <c:pt idx="14">
                  <c:v>1.577007932760284E-2</c:v>
                </c:pt>
                <c:pt idx="15">
                  <c:v>1.4604175697891686E-2</c:v>
                </c:pt>
                <c:pt idx="16">
                  <c:v>1.3575978192038332E-2</c:v>
                </c:pt>
                <c:pt idx="17">
                  <c:v>1.2672208187644224E-2</c:v>
                </c:pt>
                <c:pt idx="18">
                  <c:v>1.1863051714184919E-2</c:v>
                </c:pt>
                <c:pt idx="19">
                  <c:v>1.1143152651335281E-2</c:v>
                </c:pt>
                <c:pt idx="20">
                  <c:v>1.0492645742509382E-2</c:v>
                </c:pt>
                <c:pt idx="21">
                  <c:v>9.9055325620938522E-3</c:v>
                </c:pt>
                <c:pt idx="22">
                  <c:v>9.3710620368270131E-3</c:v>
                </c:pt>
                <c:pt idx="23">
                  <c:v>8.8885609704962287E-3</c:v>
                </c:pt>
                <c:pt idx="24">
                  <c:v>8.4398369704014459E-3</c:v>
                </c:pt>
                <c:pt idx="25">
                  <c:v>8.0285392348024842E-3</c:v>
                </c:pt>
                <c:pt idx="26">
                  <c:v>7.6535773233277343E-3</c:v>
                </c:pt>
                <c:pt idx="27">
                  <c:v>7.301230080045365E-3</c:v>
                </c:pt>
                <c:pt idx="28">
                  <c:v>6.9759896460917653E-3</c:v>
                </c:pt>
                <c:pt idx="29">
                  <c:v>6.6725657429353713E-3</c:v>
                </c:pt>
                <c:pt idx="30">
                  <c:v>6.3923067952042362E-3</c:v>
                </c:pt>
                <c:pt idx="31">
                  <c:v>6.1344251209760059E-3</c:v>
                </c:pt>
                <c:pt idx="32">
                  <c:v>5.8879094202560212E-3</c:v>
                </c:pt>
                <c:pt idx="33">
                  <c:v>5.6573921858431159E-3</c:v>
                </c:pt>
                <c:pt idx="34">
                  <c:v>5.4469344076208126E-3</c:v>
                </c:pt>
                <c:pt idx="35">
                  <c:v>5.2322903471480192E-3</c:v>
                </c:pt>
                <c:pt idx="36">
                  <c:v>5.0405100257432667E-3</c:v>
                </c:pt>
                <c:pt idx="37">
                  <c:v>4.8572174583548927E-3</c:v>
                </c:pt>
                <c:pt idx="38">
                  <c:v>4.6862743768710524E-3</c:v>
                </c:pt>
                <c:pt idx="39">
                  <c:v>4.5223166892246064E-3</c:v>
                </c:pt>
                <c:pt idx="40">
                  <c:v>4.3705649805305807E-3</c:v>
                </c:pt>
                <c:pt idx="41">
                  <c:v>4.2205519740126513E-3</c:v>
                </c:pt>
                <c:pt idx="42">
                  <c:v>4.0808662628745579E-3</c:v>
                </c:pt>
                <c:pt idx="43">
                  <c:v>3.9466871269198539E-3</c:v>
                </c:pt>
                <c:pt idx="44">
                  <c:v>3.8229656135832929E-3</c:v>
                </c:pt>
                <c:pt idx="45">
                  <c:v>3.7001068830693346E-3</c:v>
                </c:pt>
                <c:pt idx="46">
                  <c:v>3.5866019144966399E-3</c:v>
                </c:pt>
                <c:pt idx="47">
                  <c:v>3.4758989729374579E-3</c:v>
                </c:pt>
                <c:pt idx="48">
                  <c:v>3.3701766052384313E-3</c:v>
                </c:pt>
                <c:pt idx="49">
                  <c:v>3.2653357017373985E-3</c:v>
                </c:pt>
                <c:pt idx="50">
                  <c:v>3.1759855927918773E-3</c:v>
                </c:pt>
                <c:pt idx="51">
                  <c:v>3.0768187254735097E-3</c:v>
                </c:pt>
                <c:pt idx="52">
                  <c:v>2.9858312003517434E-3</c:v>
                </c:pt>
                <c:pt idx="53">
                  <c:v>2.900450751703032E-3</c:v>
                </c:pt>
                <c:pt idx="54">
                  <c:v>2.8137606808524424E-3</c:v>
                </c:pt>
                <c:pt idx="55">
                  <c:v>2.7366429553022792E-3</c:v>
                </c:pt>
                <c:pt idx="56">
                  <c:v>2.6612048014963141E-3</c:v>
                </c:pt>
                <c:pt idx="57">
                  <c:v>2.5850068832631995E-3</c:v>
                </c:pt>
                <c:pt idx="58">
                  <c:v>2.5122815228116047E-3</c:v>
                </c:pt>
                <c:pt idx="59">
                  <c:v>2.4463612863798861E-3</c:v>
                </c:pt>
                <c:pt idx="60">
                  <c:v>2.3786729624660358E-3</c:v>
                </c:pt>
                <c:pt idx="61">
                  <c:v>2.3161192445347034E-3</c:v>
                </c:pt>
                <c:pt idx="62">
                  <c:v>2.255885124158738E-3</c:v>
                </c:pt>
                <c:pt idx="63">
                  <c:v>2.1930738675364908E-3</c:v>
                </c:pt>
                <c:pt idx="64">
                  <c:v>2.1366597797887604E-3</c:v>
                </c:pt>
                <c:pt idx="65">
                  <c:v>2.0837112251496093E-3</c:v>
                </c:pt>
                <c:pt idx="66">
                  <c:v>2.0299058967269551E-3</c:v>
                </c:pt>
                <c:pt idx="67">
                  <c:v>1.9757522406223388E-3</c:v>
                </c:pt>
                <c:pt idx="68">
                  <c:v>1.9214618359078839E-3</c:v>
                </c:pt>
                <c:pt idx="69">
                  <c:v>1.8741023661733025E-3</c:v>
                </c:pt>
                <c:pt idx="70">
                  <c:v>1.8305739474780286E-3</c:v>
                </c:pt>
                <c:pt idx="71">
                  <c:v>1.7844579506439556E-3</c:v>
                </c:pt>
                <c:pt idx="72">
                  <c:v>1.7325587052937075E-3</c:v>
                </c:pt>
                <c:pt idx="73">
                  <c:v>1.6882734155907464E-3</c:v>
                </c:pt>
                <c:pt idx="74">
                  <c:v>1.6423729846068574E-3</c:v>
                </c:pt>
                <c:pt idx="75">
                  <c:v>1.6110791178726713E-3</c:v>
                </c:pt>
                <c:pt idx="76">
                  <c:v>1.5634268847724286E-3</c:v>
                </c:pt>
                <c:pt idx="77">
                  <c:v>1.5299474658360401E-3</c:v>
                </c:pt>
                <c:pt idx="78">
                  <c:v>1.4891221819962747E-3</c:v>
                </c:pt>
                <c:pt idx="79">
                  <c:v>1.4520966193733442E-3</c:v>
                </c:pt>
                <c:pt idx="80">
                  <c:v>1.4168488854188893E-3</c:v>
                </c:pt>
                <c:pt idx="81">
                  <c:v>1.378668488590612E-3</c:v>
                </c:pt>
                <c:pt idx="82">
                  <c:v>1.343113302304022E-3</c:v>
                </c:pt>
                <c:pt idx="83">
                  <c:v>1.3145488084723989E-3</c:v>
                </c:pt>
                <c:pt idx="84">
                  <c:v>1.282634943062369E-3</c:v>
                </c:pt>
                <c:pt idx="85">
                  <c:v>1.2550627122357993E-3</c:v>
                </c:pt>
                <c:pt idx="86">
                  <c:v>1.2172286866185683E-3</c:v>
                </c:pt>
                <c:pt idx="87">
                  <c:v>1.1964441837915979E-3</c:v>
                </c:pt>
                <c:pt idx="88">
                  <c:v>1.1609634636276511E-3</c:v>
                </c:pt>
                <c:pt idx="89">
                  <c:v>1.133282199015373E-3</c:v>
                </c:pt>
                <c:pt idx="90">
                  <c:v>1.1079533160077842E-3</c:v>
                </c:pt>
                <c:pt idx="91">
                  <c:v>1.078329718346524E-3</c:v>
                </c:pt>
                <c:pt idx="92">
                  <c:v>1.0535756745649189E-3</c:v>
                </c:pt>
                <c:pt idx="93">
                  <c:v>1.0274195452451979E-3</c:v>
                </c:pt>
                <c:pt idx="94">
                  <c:v>9.9827645213730609E-4</c:v>
                </c:pt>
                <c:pt idx="95">
                  <c:v>9.7748843647370298E-4</c:v>
                </c:pt>
                <c:pt idx="96">
                  <c:v>9.5492899693939981E-4</c:v>
                </c:pt>
                <c:pt idx="97">
                  <c:v>9.2996564684047489E-4</c:v>
                </c:pt>
                <c:pt idx="98">
                  <c:v>9.0665012590031291E-4</c:v>
                </c:pt>
                <c:pt idx="99">
                  <c:v>8.9034557874206888E-4</c:v>
                </c:pt>
                <c:pt idx="100">
                  <c:v>8.6018124754858039E-4</c:v>
                </c:pt>
                <c:pt idx="101">
                  <c:v>8.3867097158539516E-4</c:v>
                </c:pt>
                <c:pt idx="102">
                  <c:v>8.1807852235757372E-4</c:v>
                </c:pt>
                <c:pt idx="103">
                  <c:v>7.9422760900864364E-4</c:v>
                </c:pt>
                <c:pt idx="104">
                  <c:v>7.7142059892054693E-4</c:v>
                </c:pt>
                <c:pt idx="105">
                  <c:v>7.6123868222155444E-4</c:v>
                </c:pt>
                <c:pt idx="106">
                  <c:v>7.4081997597065519E-4</c:v>
                </c:pt>
                <c:pt idx="107">
                  <c:v>7.1844637080367701E-4</c:v>
                </c:pt>
                <c:pt idx="108">
                  <c:v>6.9913068852511806E-4</c:v>
                </c:pt>
                <c:pt idx="109">
                  <c:v>6.7957291881839965E-4</c:v>
                </c:pt>
                <c:pt idx="110">
                  <c:v>6.6449241100961787E-4</c:v>
                </c:pt>
                <c:pt idx="111">
                  <c:v>6.4875376891765368E-4</c:v>
                </c:pt>
                <c:pt idx="112">
                  <c:v>6.3337287808382103E-4</c:v>
                </c:pt>
                <c:pt idx="113">
                  <c:v>6.1533459032432625E-4</c:v>
                </c:pt>
                <c:pt idx="114">
                  <c:v>5.98283551206516E-4</c:v>
                </c:pt>
                <c:pt idx="115">
                  <c:v>5.8173374849500303E-4</c:v>
                </c:pt>
                <c:pt idx="116">
                  <c:v>5.6454069645942018E-4</c:v>
                </c:pt>
                <c:pt idx="117">
                  <c:v>5.4858933068605009E-4</c:v>
                </c:pt>
                <c:pt idx="118">
                  <c:v>5.3378585124909395E-4</c:v>
                </c:pt>
                <c:pt idx="119">
                  <c:v>5.1629338594706697E-4</c:v>
                </c:pt>
                <c:pt idx="120">
                  <c:v>5.0015954271254159E-4</c:v>
                </c:pt>
                <c:pt idx="121">
                  <c:v>4.8951617990838914E-4</c:v>
                </c:pt>
                <c:pt idx="122">
                  <c:v>4.8091272999767343E-4</c:v>
                </c:pt>
                <c:pt idx="123">
                  <c:v>4.6135372624361848E-4</c:v>
                </c:pt>
                <c:pt idx="124">
                  <c:v>4.4850803347391832E-4</c:v>
                </c:pt>
              </c:numCache>
            </c:numRef>
          </c:yVal>
          <c:smooth val="0"/>
        </c:ser>
        <c:ser>
          <c:idx val="2"/>
          <c:order val="2"/>
          <c:tx>
            <c:v>First Point Analyzed</c:v>
          </c:tx>
          <c:spPr>
            <a:ln>
              <a:noFill/>
            </a:ln>
          </c:spPr>
          <c:marker>
            <c:symbol val="diamond"/>
            <c:size val="5"/>
            <c:spPr>
              <a:solidFill>
                <a:srgbClr val="00B050"/>
              </a:solidFill>
            </c:spPr>
          </c:marker>
          <c:xVal>
            <c:numRef>
              <c:f>[0]!TimeofMaxCD</c:f>
              <c:numCache>
                <c:formatCode>0.00E+00</c:formatCode>
                <c:ptCount val="1"/>
                <c:pt idx="0">
                  <c:v>2.4991999999999999E-4</c:v>
                </c:pt>
              </c:numCache>
            </c:numRef>
          </c:xVal>
          <c:yVal>
            <c:numRef>
              <c:f>[0]!FirstPoint</c:f>
              <c:numCache>
                <c:formatCode>0.00E+00</c:formatCode>
                <c:ptCount val="1"/>
                <c:pt idx="0">
                  <c:v>0.10271664980282566</c:v>
                </c:pt>
              </c:numCache>
            </c:numRef>
          </c:yVal>
          <c:smooth val="0"/>
        </c:ser>
        <c:dLbls>
          <c:showLegendKey val="0"/>
          <c:showVal val="0"/>
          <c:showCatName val="0"/>
          <c:showSerName val="0"/>
          <c:showPercent val="0"/>
          <c:showBubbleSize val="0"/>
        </c:dLbls>
        <c:axId val="70624384"/>
        <c:axId val="70623808"/>
      </c:scatterChart>
      <c:valAx>
        <c:axId val="113794368"/>
        <c:scaling>
          <c:orientation val="minMax"/>
        </c:scaling>
        <c:delete val="0"/>
        <c:axPos val="b"/>
        <c:majorGridlines/>
        <c:title>
          <c:tx>
            <c:rich>
              <a:bodyPr/>
              <a:lstStyle/>
              <a:p>
                <a:pPr>
                  <a:defRPr sz="1200" baseline="0">
                    <a:latin typeface="Arial" pitchFamily="34" charset="0"/>
                    <a:cs typeface="Arial" pitchFamily="34" charset="0"/>
                  </a:defRPr>
                </a:pPr>
                <a:r>
                  <a:rPr lang="en-US" sz="1200" baseline="0">
                    <a:latin typeface="Arial" pitchFamily="34" charset="0"/>
                    <a:cs typeface="Arial" pitchFamily="34" charset="0"/>
                  </a:rPr>
                  <a:t>Time (seconds)</a:t>
                </a:r>
              </a:p>
            </c:rich>
          </c:tx>
          <c:layout/>
          <c:overlay val="0"/>
        </c:title>
        <c:numFmt formatCode="0.0E+00" sourceLinked="0"/>
        <c:majorTickMark val="out"/>
        <c:minorTickMark val="none"/>
        <c:tickLblPos val="nextTo"/>
        <c:txPr>
          <a:bodyPr/>
          <a:lstStyle/>
          <a:p>
            <a:pPr>
              <a:defRPr sz="1000" b="1" baseline="0">
                <a:latin typeface="Arial" pitchFamily="34" charset="0"/>
                <a:cs typeface="Arial" pitchFamily="34" charset="0"/>
              </a:defRPr>
            </a:pPr>
            <a:endParaRPr lang="en-US"/>
          </a:p>
        </c:txPr>
        <c:crossAx val="113793216"/>
        <c:crosses val="autoZero"/>
        <c:crossBetween val="midCat"/>
      </c:valAx>
      <c:valAx>
        <c:axId val="113793216"/>
        <c:scaling>
          <c:orientation val="minMax"/>
          <c:min val="0"/>
        </c:scaling>
        <c:delete val="0"/>
        <c:axPos val="l"/>
        <c:majorGridlines/>
        <c:title>
          <c:tx>
            <c:rich>
              <a:bodyPr rot="-5400000" vert="horz"/>
              <a:lstStyle/>
              <a:p>
                <a:pPr>
                  <a:defRPr sz="1200" baseline="0">
                    <a:solidFill>
                      <a:srgbClr val="2004EC"/>
                    </a:solidFill>
                    <a:latin typeface="Arial" pitchFamily="34" charset="0"/>
                    <a:cs typeface="Arial" pitchFamily="34" charset="0"/>
                  </a:defRPr>
                </a:pPr>
                <a:r>
                  <a:rPr lang="en-US" sz="1200" baseline="0">
                    <a:solidFill>
                      <a:srgbClr val="2004EC"/>
                    </a:solidFill>
                    <a:latin typeface="Arial" pitchFamily="34" charset="0"/>
                    <a:cs typeface="Arial" pitchFamily="34" charset="0"/>
                  </a:rPr>
                  <a:t>Illumination (suns)</a:t>
                </a:r>
              </a:p>
            </c:rich>
          </c:tx>
          <c:layout/>
          <c:overlay val="0"/>
        </c:title>
        <c:numFmt formatCode="0" sourceLinked="0"/>
        <c:majorTickMark val="out"/>
        <c:minorTickMark val="none"/>
        <c:tickLblPos val="nextTo"/>
        <c:spPr>
          <a:ln>
            <a:solidFill>
              <a:srgbClr val="2004EC"/>
            </a:solidFill>
          </a:ln>
        </c:spPr>
        <c:txPr>
          <a:bodyPr/>
          <a:lstStyle/>
          <a:p>
            <a:pPr>
              <a:defRPr sz="1000" b="1" baseline="0">
                <a:solidFill>
                  <a:srgbClr val="2004EC"/>
                </a:solidFill>
                <a:latin typeface="Arial" pitchFamily="34" charset="0"/>
                <a:cs typeface="Arial" pitchFamily="34" charset="0"/>
              </a:defRPr>
            </a:pPr>
            <a:endParaRPr lang="en-US"/>
          </a:p>
        </c:txPr>
        <c:crossAx val="113794368"/>
        <c:crosses val="autoZero"/>
        <c:crossBetween val="midCat"/>
      </c:valAx>
      <c:valAx>
        <c:axId val="70623808"/>
        <c:scaling>
          <c:orientation val="minMax"/>
          <c:min val="0"/>
        </c:scaling>
        <c:delete val="0"/>
        <c:axPos val="r"/>
        <c:title>
          <c:tx>
            <c:rich>
              <a:bodyPr rot="-5400000" vert="horz"/>
              <a:lstStyle/>
              <a:p>
                <a:pPr>
                  <a:defRPr>
                    <a:solidFill>
                      <a:srgbClr val="FF0000"/>
                    </a:solidFill>
                    <a:latin typeface="Arial" pitchFamily="34" charset="0"/>
                    <a:cs typeface="Arial" pitchFamily="34" charset="0"/>
                  </a:defRPr>
                </a:pPr>
                <a:r>
                  <a:rPr lang="en-US">
                    <a:solidFill>
                      <a:srgbClr val="FF0000"/>
                    </a:solidFill>
                    <a:latin typeface="Arial" pitchFamily="34" charset="0"/>
                    <a:cs typeface="Arial" pitchFamily="34" charset="0"/>
                  </a:rPr>
                  <a:t>Photoconductance (Siemens)</a:t>
                </a:r>
              </a:p>
            </c:rich>
          </c:tx>
          <c:layout>
            <c:manualLayout>
              <c:xMode val="edge"/>
              <c:yMode val="edge"/>
              <c:x val="0.95624670254514565"/>
              <c:y val="0.22911838954691294"/>
            </c:manualLayout>
          </c:layout>
          <c:overlay val="0"/>
        </c:title>
        <c:numFmt formatCode="General" sourceLinked="0"/>
        <c:majorTickMark val="out"/>
        <c:minorTickMark val="none"/>
        <c:tickLblPos val="nextTo"/>
        <c:spPr>
          <a:ln>
            <a:solidFill>
              <a:srgbClr val="FF0000"/>
            </a:solidFill>
          </a:ln>
        </c:spPr>
        <c:txPr>
          <a:bodyPr/>
          <a:lstStyle/>
          <a:p>
            <a:pPr>
              <a:defRPr sz="1000" b="1" baseline="0">
                <a:solidFill>
                  <a:srgbClr val="FF0000"/>
                </a:solidFill>
                <a:latin typeface="Arial" pitchFamily="34" charset="0"/>
                <a:cs typeface="Arial" pitchFamily="34" charset="0"/>
              </a:defRPr>
            </a:pPr>
            <a:endParaRPr lang="en-US"/>
          </a:p>
        </c:txPr>
        <c:crossAx val="70624384"/>
        <c:crosses val="max"/>
        <c:crossBetween val="midCat"/>
      </c:valAx>
      <c:valAx>
        <c:axId val="70624384"/>
        <c:scaling>
          <c:orientation val="minMax"/>
        </c:scaling>
        <c:delete val="1"/>
        <c:axPos val="b"/>
        <c:numFmt formatCode="0.00E+00" sourceLinked="1"/>
        <c:majorTickMark val="out"/>
        <c:minorTickMark val="none"/>
        <c:tickLblPos val="none"/>
        <c:crossAx val="70623808"/>
        <c:crosses val="autoZero"/>
        <c:crossBetween val="midCat"/>
      </c:valAx>
      <c:spPr>
        <a:ln>
          <a:solidFill>
            <a:sysClr val="windowText" lastClr="000000"/>
          </a:solidFill>
        </a:ln>
      </c:spPr>
    </c:plotArea>
    <c:legend>
      <c:legendPos val="r"/>
      <c:layout>
        <c:manualLayout>
          <c:xMode val="edge"/>
          <c:yMode val="edge"/>
          <c:x val="0.43917475730124861"/>
          <c:y val="0.12421172623002825"/>
          <c:w val="0.41499146159421246"/>
          <c:h val="0.16559176041105386"/>
        </c:manualLayout>
      </c:layout>
      <c:overlay val="0"/>
      <c:spPr>
        <a:solidFill>
          <a:schemeClr val="bg1"/>
        </a:solidFill>
        <a:ln>
          <a:solidFill>
            <a:schemeClr val="tx1"/>
          </a:solidFill>
        </a:ln>
      </c:spPr>
      <c:txPr>
        <a:bodyPr/>
        <a:lstStyle/>
        <a:p>
          <a:pPr>
            <a:defRPr sz="1000" baseline="0">
              <a:latin typeface="Arial" pitchFamily="34" charset="0"/>
              <a:cs typeface="Arial" pitchFamily="34" charset="0"/>
            </a:defRPr>
          </a:pPr>
          <a:endParaRPr lang="en-US"/>
        </a:p>
      </c:txPr>
    </c:legend>
    <c:plotVisOnly val="1"/>
    <c:dispBlanksAs val="gap"/>
    <c:showDLblsOverMax val="0"/>
  </c:chart>
  <c:printSettings>
    <c:headerFooter/>
    <c:pageMargins b="0.75000000000000988" l="0.70000000000000062" r="0.70000000000000062" t="0.75000000000000988"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latin typeface="Arial" pitchFamily="34" charset="0"/>
                <a:cs typeface="Arial" pitchFamily="34" charset="0"/>
              </a:defRPr>
            </a:pPr>
            <a:r>
              <a:rPr lang="en-US" sz="1200">
                <a:latin typeface="Arial" pitchFamily="34" charset="0"/>
                <a:cs typeface="Arial" pitchFamily="34" charset="0"/>
              </a:rPr>
              <a:t>Inverse</a:t>
            </a:r>
            <a:r>
              <a:rPr lang="en-US" sz="1200" baseline="0">
                <a:latin typeface="Arial" pitchFamily="34" charset="0"/>
                <a:cs typeface="Arial" pitchFamily="34" charset="0"/>
              </a:rPr>
              <a:t> Lifetime (Auger Corrected) vs. Carrier Density</a:t>
            </a:r>
          </a:p>
        </c:rich>
      </c:tx>
      <c:layout/>
      <c:overlay val="0"/>
    </c:title>
    <c:autoTitleDeleted val="0"/>
    <c:plotArea>
      <c:layout>
        <c:manualLayout>
          <c:layoutTarget val="inner"/>
          <c:xMode val="edge"/>
          <c:yMode val="edge"/>
          <c:x val="0.14785189444738289"/>
          <c:y val="0.11206623436776286"/>
          <c:w val="0.75886272733429383"/>
          <c:h val="0.74692073241282175"/>
        </c:manualLayout>
      </c:layout>
      <c:scatterChart>
        <c:scatterStyle val="lineMarker"/>
        <c:varyColors val="0"/>
        <c:ser>
          <c:idx val="0"/>
          <c:order val="0"/>
          <c:tx>
            <c:v>Minority Carrier Density</c:v>
          </c:tx>
          <c:spPr>
            <a:ln w="28575">
              <a:noFill/>
            </a:ln>
          </c:spPr>
          <c:marker>
            <c:symbol val="square"/>
            <c:size val="5"/>
            <c:spPr>
              <a:solidFill>
                <a:srgbClr val="FF0000"/>
              </a:solidFill>
              <a:ln>
                <a:noFill/>
              </a:ln>
            </c:spPr>
          </c:marker>
          <c:xVal>
            <c:numRef>
              <c:f>Calc!$T$15:$T$130</c:f>
              <c:numCache>
                <c:formatCode>0.00E+00</c:formatCode>
                <c:ptCount val="116"/>
                <c:pt idx="0">
                  <c:v>2795907107476559</c:v>
                </c:pt>
                <c:pt idx="1">
                  <c:v>2382417130730062.5</c:v>
                </c:pt>
                <c:pt idx="2">
                  <c:v>2068279905856168</c:v>
                </c:pt>
                <c:pt idx="3">
                  <c:v>1822815568763083.2</c:v>
                </c:pt>
                <c:pt idx="4">
                  <c:v>1625889383606275</c:v>
                </c:pt>
                <c:pt idx="5">
                  <c:v>1464336904173964.5</c:v>
                </c:pt>
                <c:pt idx="6">
                  <c:v>1329667256177945</c:v>
                </c:pt>
                <c:pt idx="7">
                  <c:v>1215930297417172</c:v>
                </c:pt>
                <c:pt idx="8">
                  <c:v>1118286865182320.7</c:v>
                </c:pt>
                <c:pt idx="9">
                  <c:v>1034300663495785.6</c:v>
                </c:pt>
                <c:pt idx="10">
                  <c:v>960397345495608.25</c:v>
                </c:pt>
                <c:pt idx="11">
                  <c:v>895564884959189.62</c:v>
                </c:pt>
                <c:pt idx="12">
                  <c:v>837621612468979.5</c:v>
                </c:pt>
                <c:pt idx="13">
                  <c:v>786151720911368.75</c:v>
                </c:pt>
                <c:pt idx="14">
                  <c:v>739709787005948.12</c:v>
                </c:pt>
                <c:pt idx="15">
                  <c:v>697848533161954.37</c:v>
                </c:pt>
                <c:pt idx="16">
                  <c:v>659786239553203.25</c:v>
                </c:pt>
                <c:pt idx="17">
                  <c:v>625462486053596.62</c:v>
                </c:pt>
                <c:pt idx="18">
                  <c:v>593573725633900.25</c:v>
                </c:pt>
                <c:pt idx="19">
                  <c:v>564372110363502.37</c:v>
                </c:pt>
                <c:pt idx="20">
                  <c:v>537773305752357.06</c:v>
                </c:pt>
                <c:pt idx="21">
                  <c:v>512798857378768.37</c:v>
                </c:pt>
                <c:pt idx="22">
                  <c:v>489763165275339.5</c:v>
                </c:pt>
                <c:pt idx="23">
                  <c:v>468287834550130.12</c:v>
                </c:pt>
                <c:pt idx="24">
                  <c:v>448465127598598.94</c:v>
                </c:pt>
                <c:pt idx="25">
                  <c:v>430236329279206</c:v>
                </c:pt>
                <c:pt idx="26">
                  <c:v>412821013054100.37</c:v>
                </c:pt>
                <c:pt idx="27">
                  <c:v>396544866948250.06</c:v>
                </c:pt>
                <c:pt idx="28">
                  <c:v>381692649268363.37</c:v>
                </c:pt>
                <c:pt idx="29">
                  <c:v>366552502194570</c:v>
                </c:pt>
                <c:pt idx="30">
                  <c:v>353031513721201.19</c:v>
                </c:pt>
                <c:pt idx="31">
                  <c:v>340114642724112.87</c:v>
                </c:pt>
                <c:pt idx="32">
                  <c:v>328073110494273</c:v>
                </c:pt>
                <c:pt idx="33">
                  <c:v>316528246976444.25</c:v>
                </c:pt>
                <c:pt idx="34">
                  <c:v>305846888481691.44</c:v>
                </c:pt>
                <c:pt idx="35">
                  <c:v>295291744687327.87</c:v>
                </c:pt>
                <c:pt idx="36">
                  <c:v>285466686919810.87</c:v>
                </c:pt>
                <c:pt idx="37">
                  <c:v>276032084191849.72</c:v>
                </c:pt>
                <c:pt idx="38">
                  <c:v>267335531683775.34</c:v>
                </c:pt>
                <c:pt idx="39">
                  <c:v>258702236615495.5</c:v>
                </c:pt>
                <c:pt idx="40">
                  <c:v>250728553719988.62</c:v>
                </c:pt>
                <c:pt idx="41">
                  <c:v>242953869927931.78</c:v>
                </c:pt>
                <c:pt idx="42">
                  <c:v>235530969976970.41</c:v>
                </c:pt>
                <c:pt idx="43">
                  <c:v>228171893901418.09</c:v>
                </c:pt>
                <c:pt idx="44">
                  <c:v>221901687115068.94</c:v>
                </c:pt>
                <c:pt idx="45">
                  <c:v>214944234441233.69</c:v>
                </c:pt>
                <c:pt idx="46">
                  <c:v>208562171619336.12</c:v>
                </c:pt>
                <c:pt idx="47">
                  <c:v>202574742700260.56</c:v>
                </c:pt>
                <c:pt idx="48">
                  <c:v>196496808621178.62</c:v>
                </c:pt>
                <c:pt idx="49">
                  <c:v>191091136040074.66</c:v>
                </c:pt>
                <c:pt idx="50">
                  <c:v>185804232438349.72</c:v>
                </c:pt>
                <c:pt idx="51">
                  <c:v>180465127663875.91</c:v>
                </c:pt>
                <c:pt idx="52">
                  <c:v>175370324529450.56</c:v>
                </c:pt>
                <c:pt idx="53">
                  <c:v>170753089832222.47</c:v>
                </c:pt>
                <c:pt idx="54">
                  <c:v>166012840542481</c:v>
                </c:pt>
                <c:pt idx="55">
                  <c:v>161632918194772.56</c:v>
                </c:pt>
                <c:pt idx="56">
                  <c:v>157416091980848.34</c:v>
                </c:pt>
                <c:pt idx="57">
                  <c:v>153019561854072.06</c:v>
                </c:pt>
                <c:pt idx="58">
                  <c:v>149071431137973.34</c:v>
                </c:pt>
                <c:pt idx="59">
                  <c:v>145366374120225.19</c:v>
                </c:pt>
                <c:pt idx="60">
                  <c:v>141601901013340.94</c:v>
                </c:pt>
                <c:pt idx="61">
                  <c:v>137813605029549.28</c:v>
                </c:pt>
                <c:pt idx="62">
                  <c:v>134016296376736.59</c:v>
                </c:pt>
                <c:pt idx="63">
                  <c:v>130704221813503.11</c:v>
                </c:pt>
                <c:pt idx="64">
                  <c:v>127660445425586.72</c:v>
                </c:pt>
                <c:pt idx="65">
                  <c:v>124436122043031.61</c:v>
                </c:pt>
                <c:pt idx="66">
                  <c:v>120807931898835.5</c:v>
                </c:pt>
                <c:pt idx="67">
                  <c:v>117712427874941.75</c:v>
                </c:pt>
                <c:pt idx="68">
                  <c:v>114504423868256.11</c:v>
                </c:pt>
                <c:pt idx="69">
                  <c:v>112317512307562.3</c:v>
                </c:pt>
                <c:pt idx="70">
                  <c:v>108987790890595.67</c:v>
                </c:pt>
                <c:pt idx="71">
                  <c:v>106648664194525.61</c:v>
                </c:pt>
                <c:pt idx="72">
                  <c:v>103796594095219.69</c:v>
                </c:pt>
                <c:pt idx="73">
                  <c:v>101210254725216.62</c:v>
                </c:pt>
                <c:pt idx="74">
                  <c:v>98748350560028.266</c:v>
                </c:pt>
                <c:pt idx="75">
                  <c:v>96081887136411.797</c:v>
                </c:pt>
                <c:pt idx="76">
                  <c:v>93599022348844.547</c:v>
                </c:pt>
                <c:pt idx="77">
                  <c:v>91604507294039.844</c:v>
                </c:pt>
                <c:pt idx="78">
                  <c:v>89376313330632.094</c:v>
                </c:pt>
                <c:pt idx="79">
                  <c:v>87451410565290.719</c:v>
                </c:pt>
                <c:pt idx="80">
                  <c:v>84810346276012.109</c:v>
                </c:pt>
                <c:pt idx="81">
                  <c:v>83359572535953.625</c:v>
                </c:pt>
                <c:pt idx="82">
                  <c:v>80883191619116.844</c:v>
                </c:pt>
                <c:pt idx="83">
                  <c:v>78951349988999.906</c:v>
                </c:pt>
                <c:pt idx="84">
                  <c:v>77183813292876.031</c:v>
                </c:pt>
                <c:pt idx="85">
                  <c:v>75116740873343.734</c:v>
                </c:pt>
                <c:pt idx="86">
                  <c:v>73389591894293.625</c:v>
                </c:pt>
                <c:pt idx="87">
                  <c:v>71564751169433.766</c:v>
                </c:pt>
                <c:pt idx="88">
                  <c:v>69531682260262.195</c:v>
                </c:pt>
                <c:pt idx="89">
                  <c:v>68081582881623.953</c:v>
                </c:pt>
                <c:pt idx="90">
                  <c:v>66508015231014.773</c:v>
                </c:pt>
                <c:pt idx="91">
                  <c:v>64766891556477.25</c:v>
                </c:pt>
                <c:pt idx="92">
                  <c:v>63140815157364.703</c:v>
                </c:pt>
                <c:pt idx="93">
                  <c:v>62003766329231.469</c:v>
                </c:pt>
                <c:pt idx="94">
                  <c:v>59900306901934.414</c:v>
                </c:pt>
                <c:pt idx="95">
                  <c:v>58400438908927.195</c:v>
                </c:pt>
                <c:pt idx="96">
                  <c:v>56964659320106.031</c:v>
                </c:pt>
                <c:pt idx="97">
                  <c:v>55301798495264.992</c:v>
                </c:pt>
                <c:pt idx="98">
                  <c:v>53711828868263.25</c:v>
                </c:pt>
                <c:pt idx="99">
                  <c:v>53002041192920.461</c:v>
                </c:pt>
                <c:pt idx="100">
                  <c:v>51578706325034.008</c:v>
                </c:pt>
                <c:pt idx="101">
                  <c:v>50019201462181.344</c:v>
                </c:pt>
                <c:pt idx="102">
                  <c:v>48672927777406.078</c:v>
                </c:pt>
                <c:pt idx="103">
                  <c:v>47309861570684.289</c:v>
                </c:pt>
                <c:pt idx="104">
                  <c:v>46258890782152.875</c:v>
                </c:pt>
                <c:pt idx="105">
                  <c:v>45162105855172.148</c:v>
                </c:pt>
                <c:pt idx="106">
                  <c:v>44090302799726.109</c:v>
                </c:pt>
                <c:pt idx="107">
                  <c:v>42833386054942.562</c:v>
                </c:pt>
                <c:pt idx="108">
                  <c:v>41645325503096.164</c:v>
                </c:pt>
                <c:pt idx="109">
                  <c:v>40492249313408.805</c:v>
                </c:pt>
                <c:pt idx="110">
                  <c:v>39294418552390.102</c:v>
                </c:pt>
                <c:pt idx="111">
                  <c:v>38183152619784.141</c:v>
                </c:pt>
                <c:pt idx="112">
                  <c:v>37151904592632.289</c:v>
                </c:pt>
                <c:pt idx="113">
                  <c:v>35933396426451.336</c:v>
                </c:pt>
                <c:pt idx="114">
                  <c:v>34809587734469.852</c:v>
                </c:pt>
                <c:pt idx="115">
                  <c:v>34068251611930.18</c:v>
                </c:pt>
              </c:numCache>
            </c:numRef>
          </c:xVal>
          <c:yVal>
            <c:numRef>
              <c:f>Calc!$O$15:$O$130</c:f>
              <c:numCache>
                <c:formatCode>0</c:formatCode>
                <c:ptCount val="116"/>
                <c:pt idx="0">
                  <c:v>1864.6748963055443</c:v>
                </c:pt>
                <c:pt idx="1">
                  <c:v>1591.2286916568289</c:v>
                </c:pt>
                <c:pt idx="2">
                  <c:v>1394.8546821034947</c:v>
                </c:pt>
                <c:pt idx="3">
                  <c:v>1244.5016789105523</c:v>
                </c:pt>
                <c:pt idx="4">
                  <c:v>1124.6577992148045</c:v>
                </c:pt>
                <c:pt idx="5">
                  <c:v>1027.6189484449519</c:v>
                </c:pt>
                <c:pt idx="6">
                  <c:v>947.38679228164017</c:v>
                </c:pt>
                <c:pt idx="7">
                  <c:v>878.72522956799958</c:v>
                </c:pt>
                <c:pt idx="8">
                  <c:v>820.76253314296173</c:v>
                </c:pt>
                <c:pt idx="9">
                  <c:v>770.35975058520171</c:v>
                </c:pt>
                <c:pt idx="10">
                  <c:v>727.40288285958025</c:v>
                </c:pt>
                <c:pt idx="11">
                  <c:v>689.93468918050405</c:v>
                </c:pt>
                <c:pt idx="12">
                  <c:v>656.39749255397749</c:v>
                </c:pt>
                <c:pt idx="13">
                  <c:v>626.51772370253695</c:v>
                </c:pt>
                <c:pt idx="14">
                  <c:v>599.29185829716096</c:v>
                </c:pt>
                <c:pt idx="15">
                  <c:v>574.24763686530071</c:v>
                </c:pt>
                <c:pt idx="16">
                  <c:v>551.96875627002214</c:v>
                </c:pt>
                <c:pt idx="17">
                  <c:v>532.02101349429961</c:v>
                </c:pt>
                <c:pt idx="18">
                  <c:v>513.44772890021954</c:v>
                </c:pt>
                <c:pt idx="19">
                  <c:v>497.59594427075746</c:v>
                </c:pt>
                <c:pt idx="20">
                  <c:v>481.49694473687839</c:v>
                </c:pt>
                <c:pt idx="21">
                  <c:v>467.93170987894672</c:v>
                </c:pt>
                <c:pt idx="22">
                  <c:v>455.18401678243941</c:v>
                </c:pt>
                <c:pt idx="23">
                  <c:v>440.43985162082367</c:v>
                </c:pt>
                <c:pt idx="24">
                  <c:v>427.64993971552411</c:v>
                </c:pt>
                <c:pt idx="25">
                  <c:v>416.04541089323243</c:v>
                </c:pt>
                <c:pt idx="26">
                  <c:v>404.82346339805736</c:v>
                </c:pt>
                <c:pt idx="27">
                  <c:v>399.43149059543953</c:v>
                </c:pt>
                <c:pt idx="28">
                  <c:v>391.62151419921156</c:v>
                </c:pt>
                <c:pt idx="29">
                  <c:v>385.86512903308403</c:v>
                </c:pt>
                <c:pt idx="30">
                  <c:v>378.44751498489182</c:v>
                </c:pt>
                <c:pt idx="31">
                  <c:v>367.35143774397994</c:v>
                </c:pt>
                <c:pt idx="32">
                  <c:v>359.36206272353979</c:v>
                </c:pt>
                <c:pt idx="33">
                  <c:v>353.26823297246926</c:v>
                </c:pt>
                <c:pt idx="34">
                  <c:v>347.89256148717436</c:v>
                </c:pt>
                <c:pt idx="35">
                  <c:v>343.15142989572718</c:v>
                </c:pt>
                <c:pt idx="36">
                  <c:v>337.14531981963222</c:v>
                </c:pt>
                <c:pt idx="37">
                  <c:v>330.66901870487089</c:v>
                </c:pt>
                <c:pt idx="38">
                  <c:v>324.58984201960686</c:v>
                </c:pt>
                <c:pt idx="39">
                  <c:v>319.80653173469352</c:v>
                </c:pt>
                <c:pt idx="40">
                  <c:v>316.40323369770056</c:v>
                </c:pt>
                <c:pt idx="41">
                  <c:v>313.78163916790527</c:v>
                </c:pt>
                <c:pt idx="42">
                  <c:v>307.4500971702991</c:v>
                </c:pt>
                <c:pt idx="43">
                  <c:v>305.15955846671829</c:v>
                </c:pt>
                <c:pt idx="44">
                  <c:v>302.5985021899595</c:v>
                </c:pt>
                <c:pt idx="45">
                  <c:v>300.15847225303088</c:v>
                </c:pt>
                <c:pt idx="46">
                  <c:v>302.85544398690126</c:v>
                </c:pt>
                <c:pt idx="47">
                  <c:v>294.99116960021649</c:v>
                </c:pt>
                <c:pt idx="48">
                  <c:v>290.01433206913777</c:v>
                </c:pt>
                <c:pt idx="49">
                  <c:v>287.29863751057775</c:v>
                </c:pt>
                <c:pt idx="50">
                  <c:v>284.53780464428769</c:v>
                </c:pt>
                <c:pt idx="51">
                  <c:v>283.15855047853654</c:v>
                </c:pt>
                <c:pt idx="52">
                  <c:v>281.03881654100655</c:v>
                </c:pt>
                <c:pt idx="53">
                  <c:v>275.3311142089579</c:v>
                </c:pt>
                <c:pt idx="54">
                  <c:v>271.19011694486574</c:v>
                </c:pt>
                <c:pt idx="55">
                  <c:v>272.57315737835194</c:v>
                </c:pt>
                <c:pt idx="56">
                  <c:v>269.91967200462017</c:v>
                </c:pt>
                <c:pt idx="57">
                  <c:v>267.10180579641866</c:v>
                </c:pt>
                <c:pt idx="58">
                  <c:v>263.47147989668343</c:v>
                </c:pt>
                <c:pt idx="59">
                  <c:v>260.5578135066101</c:v>
                </c:pt>
                <c:pt idx="60">
                  <c:v>265.94505546467155</c:v>
                </c:pt>
                <c:pt idx="61">
                  <c:v>267.79333068229562</c:v>
                </c:pt>
                <c:pt idx="62">
                  <c:v>261.07495690781167</c:v>
                </c:pt>
                <c:pt idx="63">
                  <c:v>253.29794137074234</c:v>
                </c:pt>
                <c:pt idx="64">
                  <c:v>256.00235826075846</c:v>
                </c:pt>
                <c:pt idx="65">
                  <c:v>263.85347241970436</c:v>
                </c:pt>
                <c:pt idx="66">
                  <c:v>273.43246386370743</c:v>
                </c:pt>
                <c:pt idx="67">
                  <c:v>259.42902131772354</c:v>
                </c:pt>
                <c:pt idx="68">
                  <c:v>253.55094981486567</c:v>
                </c:pt>
                <c:pt idx="69">
                  <c:v>246.10417110488254</c:v>
                </c:pt>
                <c:pt idx="70">
                  <c:v>248.48983920093832</c:v>
                </c:pt>
                <c:pt idx="71">
                  <c:v>256.95303885635332</c:v>
                </c:pt>
                <c:pt idx="72">
                  <c:v>249.67518459426481</c:v>
                </c:pt>
                <c:pt idx="73">
                  <c:v>258.67019818733337</c:v>
                </c:pt>
                <c:pt idx="74">
                  <c:v>258.45406522772987</c:v>
                </c:pt>
                <c:pt idx="75">
                  <c:v>253.52697970763896</c:v>
                </c:pt>
                <c:pt idx="76">
                  <c:v>248.08050894330805</c:v>
                </c:pt>
                <c:pt idx="77">
                  <c:v>234.51232664961304</c:v>
                </c:pt>
                <c:pt idx="78">
                  <c:v>243.12105645220433</c:v>
                </c:pt>
                <c:pt idx="79">
                  <c:v>240.75913945785996</c:v>
                </c:pt>
                <c:pt idx="80">
                  <c:v>248.52001835831086</c:v>
                </c:pt>
                <c:pt idx="81">
                  <c:v>251.03672700070808</c:v>
                </c:pt>
                <c:pt idx="82">
                  <c:v>243.0716411985567</c:v>
                </c:pt>
                <c:pt idx="83">
                  <c:v>255.65395298057513</c:v>
                </c:pt>
                <c:pt idx="84">
                  <c:v>243.84705130842369</c:v>
                </c:pt>
                <c:pt idx="85">
                  <c:v>247.17147248472807</c:v>
                </c:pt>
                <c:pt idx="86">
                  <c:v>256.9246553877278</c:v>
                </c:pt>
                <c:pt idx="87">
                  <c:v>250.50904113507104</c:v>
                </c:pt>
                <c:pt idx="88">
                  <c:v>248.02741750760296</c:v>
                </c:pt>
                <c:pt idx="89">
                  <c:v>244.10217438730885</c:v>
                </c:pt>
                <c:pt idx="90">
                  <c:v>242.01499813693161</c:v>
                </c:pt>
                <c:pt idx="91">
                  <c:v>239.665387901918</c:v>
                </c:pt>
                <c:pt idx="92">
                  <c:v>253.06498701787851</c:v>
                </c:pt>
                <c:pt idx="93">
                  <c:v>257.62850895431484</c:v>
                </c:pt>
                <c:pt idx="94">
                  <c:v>266.37928480462097</c:v>
                </c:pt>
                <c:pt idx="95">
                  <c:v>279.79005231626485</c:v>
                </c:pt>
                <c:pt idx="96">
                  <c:v>271.66474471692129</c:v>
                </c:pt>
                <c:pt idx="97">
                  <c:v>254.04861165813028</c:v>
                </c:pt>
                <c:pt idx="98">
                  <c:v>243.36177598318471</c:v>
                </c:pt>
                <c:pt idx="99">
                  <c:v>239.57698909750033</c:v>
                </c:pt>
                <c:pt idx="100">
                  <c:v>253.21329403143929</c:v>
                </c:pt>
                <c:pt idx="101">
                  <c:v>285.68888817136724</c:v>
                </c:pt>
                <c:pt idx="102">
                  <c:v>274.25470737483738</c:v>
                </c:pt>
                <c:pt idx="103">
                  <c:v>256.35358103336608</c:v>
                </c:pt>
                <c:pt idx="104">
                  <c:v>244.55496356142004</c:v>
                </c:pt>
                <c:pt idx="105">
                  <c:v>246.2548168462792</c:v>
                </c:pt>
                <c:pt idx="106">
                  <c:v>262.09182851318837</c:v>
                </c:pt>
                <c:pt idx="107">
                  <c:v>275.12557404796775</c:v>
                </c:pt>
                <c:pt idx="108">
                  <c:v>286.53360720443322</c:v>
                </c:pt>
                <c:pt idx="109">
                  <c:v>287.74058759082271</c:v>
                </c:pt>
                <c:pt idx="110">
                  <c:v>287.46672464378963</c:v>
                </c:pt>
                <c:pt idx="111">
                  <c:v>294.89778999777394</c:v>
                </c:pt>
                <c:pt idx="112">
                  <c:v>301.98539828111069</c:v>
                </c:pt>
                <c:pt idx="113">
                  <c:v>294.21215096155095</c:v>
                </c:pt>
                <c:pt idx="114">
                  <c:v>265.18116178239677</c:v>
                </c:pt>
                <c:pt idx="115">
                  <c:v>263.99124824516576</c:v>
                </c:pt>
              </c:numCache>
            </c:numRef>
          </c:yVal>
          <c:smooth val="0"/>
        </c:ser>
        <c:ser>
          <c:idx val="1"/>
          <c:order val="1"/>
          <c:tx>
            <c:v>Apparent Carrier Density</c:v>
          </c:tx>
          <c:spPr>
            <a:ln w="28575">
              <a:noFill/>
            </a:ln>
          </c:spPr>
          <c:marker>
            <c:symbol val="x"/>
            <c:size val="4"/>
            <c:spPr>
              <a:ln w="9525">
                <a:solidFill>
                  <a:srgbClr val="2004EC"/>
                </a:solidFill>
              </a:ln>
            </c:spPr>
          </c:marker>
          <c:xVal>
            <c:numRef>
              <c:f>Calc!$G$15:$G$130</c:f>
              <c:numCache>
                <c:formatCode>0.00E+00</c:formatCode>
                <c:ptCount val="116"/>
                <c:pt idx="0">
                  <c:v>2795907107476559</c:v>
                </c:pt>
                <c:pt idx="1">
                  <c:v>2382417130730062.5</c:v>
                </c:pt>
                <c:pt idx="2">
                  <c:v>2068279905856168</c:v>
                </c:pt>
                <c:pt idx="3">
                  <c:v>1822815568763083.2</c:v>
                </c:pt>
                <c:pt idx="4">
                  <c:v>1625889383606275</c:v>
                </c:pt>
                <c:pt idx="5">
                  <c:v>1464336904173964.5</c:v>
                </c:pt>
                <c:pt idx="6">
                  <c:v>1329667256177945</c:v>
                </c:pt>
                <c:pt idx="7">
                  <c:v>1215930297417172</c:v>
                </c:pt>
                <c:pt idx="8">
                  <c:v>1118286865182320.7</c:v>
                </c:pt>
                <c:pt idx="9">
                  <c:v>1034300663495785.6</c:v>
                </c:pt>
                <c:pt idx="10">
                  <c:v>960397345495608.25</c:v>
                </c:pt>
                <c:pt idx="11">
                  <c:v>895564884959189.62</c:v>
                </c:pt>
                <c:pt idx="12">
                  <c:v>837621612468979.5</c:v>
                </c:pt>
                <c:pt idx="13">
                  <c:v>786151720911368.75</c:v>
                </c:pt>
                <c:pt idx="14">
                  <c:v>739709787005948.12</c:v>
                </c:pt>
                <c:pt idx="15">
                  <c:v>697848533161954.37</c:v>
                </c:pt>
                <c:pt idx="16">
                  <c:v>659786239553203.25</c:v>
                </c:pt>
                <c:pt idx="17">
                  <c:v>625462486053596.62</c:v>
                </c:pt>
                <c:pt idx="18">
                  <c:v>593573725633900.25</c:v>
                </c:pt>
                <c:pt idx="19">
                  <c:v>564372110363502.37</c:v>
                </c:pt>
                <c:pt idx="20">
                  <c:v>537773305752357.06</c:v>
                </c:pt>
                <c:pt idx="21">
                  <c:v>512798857378768.37</c:v>
                </c:pt>
                <c:pt idx="22">
                  <c:v>489763165275339.5</c:v>
                </c:pt>
                <c:pt idx="23">
                  <c:v>468287834550130.12</c:v>
                </c:pt>
                <c:pt idx="24">
                  <c:v>448465127598598.94</c:v>
                </c:pt>
                <c:pt idx="25">
                  <c:v>430236329279206</c:v>
                </c:pt>
                <c:pt idx="26">
                  <c:v>412821013054100.37</c:v>
                </c:pt>
                <c:pt idx="27">
                  <c:v>396544866948250.06</c:v>
                </c:pt>
                <c:pt idx="28">
                  <c:v>381692649268363.37</c:v>
                </c:pt>
                <c:pt idx="29">
                  <c:v>366552502194570</c:v>
                </c:pt>
                <c:pt idx="30">
                  <c:v>353031513721201.19</c:v>
                </c:pt>
                <c:pt idx="31">
                  <c:v>340114642724112.87</c:v>
                </c:pt>
                <c:pt idx="32">
                  <c:v>328073110494273</c:v>
                </c:pt>
                <c:pt idx="33">
                  <c:v>316528246976444.25</c:v>
                </c:pt>
                <c:pt idx="34">
                  <c:v>305846888481691.44</c:v>
                </c:pt>
                <c:pt idx="35">
                  <c:v>295291744687327.87</c:v>
                </c:pt>
                <c:pt idx="36">
                  <c:v>285466686919810.87</c:v>
                </c:pt>
                <c:pt idx="37">
                  <c:v>276032084191849.72</c:v>
                </c:pt>
                <c:pt idx="38">
                  <c:v>267335531683775.34</c:v>
                </c:pt>
                <c:pt idx="39">
                  <c:v>258702236615495.5</c:v>
                </c:pt>
                <c:pt idx="40">
                  <c:v>250728553719988.62</c:v>
                </c:pt>
                <c:pt idx="41">
                  <c:v>242953869927931.78</c:v>
                </c:pt>
                <c:pt idx="42">
                  <c:v>235530969976970.41</c:v>
                </c:pt>
                <c:pt idx="43">
                  <c:v>228171893901418.09</c:v>
                </c:pt>
                <c:pt idx="44">
                  <c:v>221901687115068.94</c:v>
                </c:pt>
                <c:pt idx="45">
                  <c:v>214944234441233.69</c:v>
                </c:pt>
                <c:pt idx="46">
                  <c:v>208562171619336.12</c:v>
                </c:pt>
                <c:pt idx="47">
                  <c:v>202574742700260.56</c:v>
                </c:pt>
                <c:pt idx="48">
                  <c:v>196496808621178.62</c:v>
                </c:pt>
                <c:pt idx="49">
                  <c:v>191091136040074.66</c:v>
                </c:pt>
                <c:pt idx="50">
                  <c:v>185804232438349.72</c:v>
                </c:pt>
                <c:pt idx="51">
                  <c:v>180465127663875.91</c:v>
                </c:pt>
                <c:pt idx="52">
                  <c:v>175370324529450.56</c:v>
                </c:pt>
                <c:pt idx="53">
                  <c:v>170753089832222.47</c:v>
                </c:pt>
                <c:pt idx="54">
                  <c:v>166012840542481</c:v>
                </c:pt>
                <c:pt idx="55">
                  <c:v>161632918194772.56</c:v>
                </c:pt>
                <c:pt idx="56">
                  <c:v>157416091980848.34</c:v>
                </c:pt>
                <c:pt idx="57">
                  <c:v>153019561854072.06</c:v>
                </c:pt>
                <c:pt idx="58">
                  <c:v>149071431137973.34</c:v>
                </c:pt>
                <c:pt idx="59">
                  <c:v>145366374120225.19</c:v>
                </c:pt>
                <c:pt idx="60">
                  <c:v>141601901013340.94</c:v>
                </c:pt>
                <c:pt idx="61">
                  <c:v>137813605029549.28</c:v>
                </c:pt>
                <c:pt idx="62">
                  <c:v>134016296376736.59</c:v>
                </c:pt>
                <c:pt idx="63">
                  <c:v>130704221813503.11</c:v>
                </c:pt>
                <c:pt idx="64">
                  <c:v>127660445425586.72</c:v>
                </c:pt>
                <c:pt idx="65">
                  <c:v>124436122043031.61</c:v>
                </c:pt>
                <c:pt idx="66">
                  <c:v>120807931898835.5</c:v>
                </c:pt>
                <c:pt idx="67">
                  <c:v>117712427874941.75</c:v>
                </c:pt>
                <c:pt idx="68">
                  <c:v>114504423868256.11</c:v>
                </c:pt>
                <c:pt idx="69">
                  <c:v>112317512307562.3</c:v>
                </c:pt>
                <c:pt idx="70">
                  <c:v>108987790890595.67</c:v>
                </c:pt>
                <c:pt idx="71">
                  <c:v>106648664194525.61</c:v>
                </c:pt>
                <c:pt idx="72">
                  <c:v>103796594095219.69</c:v>
                </c:pt>
                <c:pt idx="73">
                  <c:v>101210254725216.62</c:v>
                </c:pt>
                <c:pt idx="74">
                  <c:v>98748350560028.266</c:v>
                </c:pt>
                <c:pt idx="75">
                  <c:v>96081887136411.797</c:v>
                </c:pt>
                <c:pt idx="76">
                  <c:v>93599022348844.547</c:v>
                </c:pt>
                <c:pt idx="77">
                  <c:v>91604507294039.844</c:v>
                </c:pt>
                <c:pt idx="78">
                  <c:v>89376313330632.094</c:v>
                </c:pt>
                <c:pt idx="79">
                  <c:v>87451410565290.719</c:v>
                </c:pt>
                <c:pt idx="80">
                  <c:v>84810346276012.109</c:v>
                </c:pt>
                <c:pt idx="81">
                  <c:v>83359572535953.625</c:v>
                </c:pt>
                <c:pt idx="82">
                  <c:v>80883191619116.844</c:v>
                </c:pt>
                <c:pt idx="83">
                  <c:v>78951349988999.906</c:v>
                </c:pt>
                <c:pt idx="84">
                  <c:v>77183813292876.031</c:v>
                </c:pt>
                <c:pt idx="85">
                  <c:v>75116740873343.734</c:v>
                </c:pt>
                <c:pt idx="86">
                  <c:v>73389591894293.625</c:v>
                </c:pt>
                <c:pt idx="87">
                  <c:v>71564751169433.766</c:v>
                </c:pt>
                <c:pt idx="88">
                  <c:v>69531682260262.195</c:v>
                </c:pt>
                <c:pt idx="89">
                  <c:v>68081582881623.953</c:v>
                </c:pt>
                <c:pt idx="90">
                  <c:v>66508015231014.773</c:v>
                </c:pt>
                <c:pt idx="91">
                  <c:v>64766891556477.25</c:v>
                </c:pt>
                <c:pt idx="92">
                  <c:v>63140815157364.703</c:v>
                </c:pt>
                <c:pt idx="93">
                  <c:v>62003766329231.469</c:v>
                </c:pt>
                <c:pt idx="94">
                  <c:v>59900306901934.414</c:v>
                </c:pt>
                <c:pt idx="95">
                  <c:v>58400438908927.195</c:v>
                </c:pt>
                <c:pt idx="96">
                  <c:v>56964659320106.031</c:v>
                </c:pt>
                <c:pt idx="97">
                  <c:v>55301798495264.992</c:v>
                </c:pt>
                <c:pt idx="98">
                  <c:v>53711828868263.25</c:v>
                </c:pt>
                <c:pt idx="99">
                  <c:v>53002041192920.461</c:v>
                </c:pt>
                <c:pt idx="100">
                  <c:v>51578706325034.008</c:v>
                </c:pt>
                <c:pt idx="101">
                  <c:v>50019201462181.344</c:v>
                </c:pt>
                <c:pt idx="102">
                  <c:v>48672927777406.078</c:v>
                </c:pt>
                <c:pt idx="103">
                  <c:v>47309861570684.289</c:v>
                </c:pt>
                <c:pt idx="104">
                  <c:v>46258890782152.875</c:v>
                </c:pt>
                <c:pt idx="105">
                  <c:v>45162105855172.148</c:v>
                </c:pt>
                <c:pt idx="106">
                  <c:v>44090302799726.109</c:v>
                </c:pt>
                <c:pt idx="107">
                  <c:v>42833386054942.562</c:v>
                </c:pt>
                <c:pt idx="108">
                  <c:v>41645325503096.164</c:v>
                </c:pt>
                <c:pt idx="109">
                  <c:v>40492249313408.805</c:v>
                </c:pt>
                <c:pt idx="110">
                  <c:v>39294418552390.102</c:v>
                </c:pt>
                <c:pt idx="111">
                  <c:v>38183152619784.141</c:v>
                </c:pt>
                <c:pt idx="112">
                  <c:v>37151904592632.289</c:v>
                </c:pt>
                <c:pt idx="113">
                  <c:v>35933396426451.336</c:v>
                </c:pt>
                <c:pt idx="114">
                  <c:v>34809587734469.852</c:v>
                </c:pt>
                <c:pt idx="115">
                  <c:v>34068251611930.18</c:v>
                </c:pt>
              </c:numCache>
            </c:numRef>
          </c:xVal>
          <c:yVal>
            <c:numRef>
              <c:f>Calc!$O$15:$O$130</c:f>
              <c:numCache>
                <c:formatCode>0</c:formatCode>
                <c:ptCount val="116"/>
                <c:pt idx="0">
                  <c:v>1864.6748963055443</c:v>
                </c:pt>
                <c:pt idx="1">
                  <c:v>1591.2286916568289</c:v>
                </c:pt>
                <c:pt idx="2">
                  <c:v>1394.8546821034947</c:v>
                </c:pt>
                <c:pt idx="3">
                  <c:v>1244.5016789105523</c:v>
                </c:pt>
                <c:pt idx="4">
                  <c:v>1124.6577992148045</c:v>
                </c:pt>
                <c:pt idx="5">
                  <c:v>1027.6189484449519</c:v>
                </c:pt>
                <c:pt idx="6">
                  <c:v>947.38679228164017</c:v>
                </c:pt>
                <c:pt idx="7">
                  <c:v>878.72522956799958</c:v>
                </c:pt>
                <c:pt idx="8">
                  <c:v>820.76253314296173</c:v>
                </c:pt>
                <c:pt idx="9">
                  <c:v>770.35975058520171</c:v>
                </c:pt>
                <c:pt idx="10">
                  <c:v>727.40288285958025</c:v>
                </c:pt>
                <c:pt idx="11">
                  <c:v>689.93468918050405</c:v>
                </c:pt>
                <c:pt idx="12">
                  <c:v>656.39749255397749</c:v>
                </c:pt>
                <c:pt idx="13">
                  <c:v>626.51772370253695</c:v>
                </c:pt>
                <c:pt idx="14">
                  <c:v>599.29185829716096</c:v>
                </c:pt>
                <c:pt idx="15">
                  <c:v>574.24763686530071</c:v>
                </c:pt>
                <c:pt idx="16">
                  <c:v>551.96875627002214</c:v>
                </c:pt>
                <c:pt idx="17">
                  <c:v>532.02101349429961</c:v>
                </c:pt>
                <c:pt idx="18">
                  <c:v>513.44772890021954</c:v>
                </c:pt>
                <c:pt idx="19">
                  <c:v>497.59594427075746</c:v>
                </c:pt>
                <c:pt idx="20">
                  <c:v>481.49694473687839</c:v>
                </c:pt>
                <c:pt idx="21">
                  <c:v>467.93170987894672</c:v>
                </c:pt>
                <c:pt idx="22">
                  <c:v>455.18401678243941</c:v>
                </c:pt>
                <c:pt idx="23">
                  <c:v>440.43985162082367</c:v>
                </c:pt>
                <c:pt idx="24">
                  <c:v>427.64993971552411</c:v>
                </c:pt>
                <c:pt idx="25">
                  <c:v>416.04541089323243</c:v>
                </c:pt>
                <c:pt idx="26">
                  <c:v>404.82346339805736</c:v>
                </c:pt>
                <c:pt idx="27">
                  <c:v>399.43149059543953</c:v>
                </c:pt>
                <c:pt idx="28">
                  <c:v>391.62151419921156</c:v>
                </c:pt>
                <c:pt idx="29">
                  <c:v>385.86512903308403</c:v>
                </c:pt>
                <c:pt idx="30">
                  <c:v>378.44751498489182</c:v>
                </c:pt>
                <c:pt idx="31">
                  <c:v>367.35143774397994</c:v>
                </c:pt>
                <c:pt idx="32">
                  <c:v>359.36206272353979</c:v>
                </c:pt>
                <c:pt idx="33">
                  <c:v>353.26823297246926</c:v>
                </c:pt>
                <c:pt idx="34">
                  <c:v>347.89256148717436</c:v>
                </c:pt>
                <c:pt idx="35">
                  <c:v>343.15142989572718</c:v>
                </c:pt>
                <c:pt idx="36">
                  <c:v>337.14531981963222</c:v>
                </c:pt>
                <c:pt idx="37">
                  <c:v>330.66901870487089</c:v>
                </c:pt>
                <c:pt idx="38">
                  <c:v>324.58984201960686</c:v>
                </c:pt>
                <c:pt idx="39">
                  <c:v>319.80653173469352</c:v>
                </c:pt>
                <c:pt idx="40">
                  <c:v>316.40323369770056</c:v>
                </c:pt>
                <c:pt idx="41">
                  <c:v>313.78163916790527</c:v>
                </c:pt>
                <c:pt idx="42">
                  <c:v>307.4500971702991</c:v>
                </c:pt>
                <c:pt idx="43">
                  <c:v>305.15955846671829</c:v>
                </c:pt>
                <c:pt idx="44">
                  <c:v>302.5985021899595</c:v>
                </c:pt>
                <c:pt idx="45">
                  <c:v>300.15847225303088</c:v>
                </c:pt>
                <c:pt idx="46">
                  <c:v>302.85544398690126</c:v>
                </c:pt>
                <c:pt idx="47">
                  <c:v>294.99116960021649</c:v>
                </c:pt>
                <c:pt idx="48">
                  <c:v>290.01433206913777</c:v>
                </c:pt>
                <c:pt idx="49">
                  <c:v>287.29863751057775</c:v>
                </c:pt>
                <c:pt idx="50">
                  <c:v>284.53780464428769</c:v>
                </c:pt>
                <c:pt idx="51">
                  <c:v>283.15855047853654</c:v>
                </c:pt>
                <c:pt idx="52">
                  <c:v>281.03881654100655</c:v>
                </c:pt>
                <c:pt idx="53">
                  <c:v>275.3311142089579</c:v>
                </c:pt>
                <c:pt idx="54">
                  <c:v>271.19011694486574</c:v>
                </c:pt>
                <c:pt idx="55">
                  <c:v>272.57315737835194</c:v>
                </c:pt>
                <c:pt idx="56">
                  <c:v>269.91967200462017</c:v>
                </c:pt>
                <c:pt idx="57">
                  <c:v>267.10180579641866</c:v>
                </c:pt>
                <c:pt idx="58">
                  <c:v>263.47147989668343</c:v>
                </c:pt>
                <c:pt idx="59">
                  <c:v>260.5578135066101</c:v>
                </c:pt>
                <c:pt idx="60">
                  <c:v>265.94505546467155</c:v>
                </c:pt>
                <c:pt idx="61">
                  <c:v>267.79333068229562</c:v>
                </c:pt>
                <c:pt idx="62">
                  <c:v>261.07495690781167</c:v>
                </c:pt>
                <c:pt idx="63">
                  <c:v>253.29794137074234</c:v>
                </c:pt>
                <c:pt idx="64">
                  <c:v>256.00235826075846</c:v>
                </c:pt>
                <c:pt idx="65">
                  <c:v>263.85347241970436</c:v>
                </c:pt>
                <c:pt idx="66">
                  <c:v>273.43246386370743</c:v>
                </c:pt>
                <c:pt idx="67">
                  <c:v>259.42902131772354</c:v>
                </c:pt>
                <c:pt idx="68">
                  <c:v>253.55094981486567</c:v>
                </c:pt>
                <c:pt idx="69">
                  <c:v>246.10417110488254</c:v>
                </c:pt>
                <c:pt idx="70">
                  <c:v>248.48983920093832</c:v>
                </c:pt>
                <c:pt idx="71">
                  <c:v>256.95303885635332</c:v>
                </c:pt>
                <c:pt idx="72">
                  <c:v>249.67518459426481</c:v>
                </c:pt>
                <c:pt idx="73">
                  <c:v>258.67019818733337</c:v>
                </c:pt>
                <c:pt idx="74">
                  <c:v>258.45406522772987</c:v>
                </c:pt>
                <c:pt idx="75">
                  <c:v>253.52697970763896</c:v>
                </c:pt>
                <c:pt idx="76">
                  <c:v>248.08050894330805</c:v>
                </c:pt>
                <c:pt idx="77">
                  <c:v>234.51232664961304</c:v>
                </c:pt>
                <c:pt idx="78">
                  <c:v>243.12105645220433</c:v>
                </c:pt>
                <c:pt idx="79">
                  <c:v>240.75913945785996</c:v>
                </c:pt>
                <c:pt idx="80">
                  <c:v>248.52001835831086</c:v>
                </c:pt>
                <c:pt idx="81">
                  <c:v>251.03672700070808</c:v>
                </c:pt>
                <c:pt idx="82">
                  <c:v>243.0716411985567</c:v>
                </c:pt>
                <c:pt idx="83">
                  <c:v>255.65395298057513</c:v>
                </c:pt>
                <c:pt idx="84">
                  <c:v>243.84705130842369</c:v>
                </c:pt>
                <c:pt idx="85">
                  <c:v>247.17147248472807</c:v>
                </c:pt>
                <c:pt idx="86">
                  <c:v>256.9246553877278</c:v>
                </c:pt>
                <c:pt idx="87">
                  <c:v>250.50904113507104</c:v>
                </c:pt>
                <c:pt idx="88">
                  <c:v>248.02741750760296</c:v>
                </c:pt>
                <c:pt idx="89">
                  <c:v>244.10217438730885</c:v>
                </c:pt>
                <c:pt idx="90">
                  <c:v>242.01499813693161</c:v>
                </c:pt>
                <c:pt idx="91">
                  <c:v>239.665387901918</c:v>
                </c:pt>
                <c:pt idx="92">
                  <c:v>253.06498701787851</c:v>
                </c:pt>
                <c:pt idx="93">
                  <c:v>257.62850895431484</c:v>
                </c:pt>
                <c:pt idx="94">
                  <c:v>266.37928480462097</c:v>
                </c:pt>
                <c:pt idx="95">
                  <c:v>279.79005231626485</c:v>
                </c:pt>
                <c:pt idx="96">
                  <c:v>271.66474471692129</c:v>
                </c:pt>
                <c:pt idx="97">
                  <c:v>254.04861165813028</c:v>
                </c:pt>
                <c:pt idx="98">
                  <c:v>243.36177598318471</c:v>
                </c:pt>
                <c:pt idx="99">
                  <c:v>239.57698909750033</c:v>
                </c:pt>
                <c:pt idx="100">
                  <c:v>253.21329403143929</c:v>
                </c:pt>
                <c:pt idx="101">
                  <c:v>285.68888817136724</c:v>
                </c:pt>
                <c:pt idx="102">
                  <c:v>274.25470737483738</c:v>
                </c:pt>
                <c:pt idx="103">
                  <c:v>256.35358103336608</c:v>
                </c:pt>
                <c:pt idx="104">
                  <c:v>244.55496356142004</c:v>
                </c:pt>
                <c:pt idx="105">
                  <c:v>246.2548168462792</c:v>
                </c:pt>
                <c:pt idx="106">
                  <c:v>262.09182851318837</c:v>
                </c:pt>
                <c:pt idx="107">
                  <c:v>275.12557404796775</c:v>
                </c:pt>
                <c:pt idx="108">
                  <c:v>286.53360720443322</c:v>
                </c:pt>
                <c:pt idx="109">
                  <c:v>287.74058759082271</c:v>
                </c:pt>
                <c:pt idx="110">
                  <c:v>287.46672464378963</c:v>
                </c:pt>
                <c:pt idx="111">
                  <c:v>294.89778999777394</c:v>
                </c:pt>
                <c:pt idx="112">
                  <c:v>301.98539828111069</c:v>
                </c:pt>
                <c:pt idx="113">
                  <c:v>294.21215096155095</c:v>
                </c:pt>
                <c:pt idx="114">
                  <c:v>265.18116178239677</c:v>
                </c:pt>
                <c:pt idx="115">
                  <c:v>263.99124824516576</c:v>
                </c:pt>
              </c:numCache>
            </c:numRef>
          </c:yVal>
          <c:smooth val="0"/>
        </c:ser>
        <c:ser>
          <c:idx val="2"/>
          <c:order val="2"/>
          <c:tx>
            <c:v>Fit</c:v>
          </c:tx>
          <c:spPr>
            <a:ln>
              <a:solidFill>
                <a:sysClr val="windowText" lastClr="000000"/>
              </a:solidFill>
            </a:ln>
          </c:spPr>
          <c:marker>
            <c:symbol val="none"/>
          </c:marker>
          <c:xVal>
            <c:numRef>
              <c:f>Calc!$G$12:$G$130</c:f>
              <c:numCache>
                <c:formatCode>0.00E+00</c:formatCode>
                <c:ptCount val="119"/>
                <c:pt idx="0">
                  <c:v>5531724802090750</c:v>
                </c:pt>
                <c:pt idx="1">
                  <c:v>4201502347315294.5</c:v>
                </c:pt>
                <c:pt idx="2">
                  <c:v>3365710797377079.5</c:v>
                </c:pt>
                <c:pt idx="3">
                  <c:v>2795907107476559</c:v>
                </c:pt>
                <c:pt idx="4">
                  <c:v>2382417130730062.5</c:v>
                </c:pt>
                <c:pt idx="5">
                  <c:v>2068279905856168</c:v>
                </c:pt>
                <c:pt idx="6">
                  <c:v>1822815568763083.2</c:v>
                </c:pt>
                <c:pt idx="7">
                  <c:v>1625889383606275</c:v>
                </c:pt>
                <c:pt idx="8">
                  <c:v>1464336904173964.5</c:v>
                </c:pt>
                <c:pt idx="9">
                  <c:v>1329667256177945</c:v>
                </c:pt>
                <c:pt idx="10">
                  <c:v>1215930297417172</c:v>
                </c:pt>
                <c:pt idx="11">
                  <c:v>1118286865182320.7</c:v>
                </c:pt>
                <c:pt idx="12">
                  <c:v>1034300663495785.6</c:v>
                </c:pt>
                <c:pt idx="13">
                  <c:v>960397345495608.25</c:v>
                </c:pt>
                <c:pt idx="14">
                  <c:v>895564884959189.62</c:v>
                </c:pt>
                <c:pt idx="15">
                  <c:v>837621612468979.5</c:v>
                </c:pt>
                <c:pt idx="16">
                  <c:v>786151720911368.75</c:v>
                </c:pt>
                <c:pt idx="17">
                  <c:v>739709787005948.12</c:v>
                </c:pt>
                <c:pt idx="18">
                  <c:v>697848533161954.37</c:v>
                </c:pt>
                <c:pt idx="19">
                  <c:v>659786239553203.25</c:v>
                </c:pt>
                <c:pt idx="20">
                  <c:v>625462486053596.62</c:v>
                </c:pt>
                <c:pt idx="21">
                  <c:v>593573725633900.25</c:v>
                </c:pt>
                <c:pt idx="22">
                  <c:v>564372110363502.37</c:v>
                </c:pt>
                <c:pt idx="23">
                  <c:v>537773305752357.06</c:v>
                </c:pt>
                <c:pt idx="24">
                  <c:v>512798857378768.37</c:v>
                </c:pt>
                <c:pt idx="25">
                  <c:v>489763165275339.5</c:v>
                </c:pt>
                <c:pt idx="26">
                  <c:v>468287834550130.12</c:v>
                </c:pt>
                <c:pt idx="27">
                  <c:v>448465127598598.94</c:v>
                </c:pt>
                <c:pt idx="28">
                  <c:v>430236329279206</c:v>
                </c:pt>
                <c:pt idx="29">
                  <c:v>412821013054100.37</c:v>
                </c:pt>
                <c:pt idx="30">
                  <c:v>396544866948250.06</c:v>
                </c:pt>
                <c:pt idx="31">
                  <c:v>381692649268363.37</c:v>
                </c:pt>
                <c:pt idx="32">
                  <c:v>366552502194570</c:v>
                </c:pt>
                <c:pt idx="33">
                  <c:v>353031513721201.19</c:v>
                </c:pt>
                <c:pt idx="34">
                  <c:v>340114642724112.87</c:v>
                </c:pt>
                <c:pt idx="35">
                  <c:v>328073110494273</c:v>
                </c:pt>
                <c:pt idx="36">
                  <c:v>316528246976444.25</c:v>
                </c:pt>
                <c:pt idx="37">
                  <c:v>305846888481691.44</c:v>
                </c:pt>
                <c:pt idx="38">
                  <c:v>295291744687327.87</c:v>
                </c:pt>
                <c:pt idx="39">
                  <c:v>285466686919810.87</c:v>
                </c:pt>
                <c:pt idx="40">
                  <c:v>276032084191849.72</c:v>
                </c:pt>
                <c:pt idx="41">
                  <c:v>267335531683775.34</c:v>
                </c:pt>
                <c:pt idx="42">
                  <c:v>258702236615495.5</c:v>
                </c:pt>
                <c:pt idx="43">
                  <c:v>250728553719988.62</c:v>
                </c:pt>
                <c:pt idx="44">
                  <c:v>242953869927931.78</c:v>
                </c:pt>
                <c:pt idx="45">
                  <c:v>235530969976970.41</c:v>
                </c:pt>
                <c:pt idx="46">
                  <c:v>228171893901418.09</c:v>
                </c:pt>
                <c:pt idx="47">
                  <c:v>221901687115068.94</c:v>
                </c:pt>
                <c:pt idx="48">
                  <c:v>214944234441233.69</c:v>
                </c:pt>
                <c:pt idx="49">
                  <c:v>208562171619336.12</c:v>
                </c:pt>
                <c:pt idx="50">
                  <c:v>202574742700260.56</c:v>
                </c:pt>
                <c:pt idx="51">
                  <c:v>196496808621178.62</c:v>
                </c:pt>
                <c:pt idx="52">
                  <c:v>191091136040074.66</c:v>
                </c:pt>
                <c:pt idx="53">
                  <c:v>185804232438349.72</c:v>
                </c:pt>
                <c:pt idx="54">
                  <c:v>180465127663875.91</c:v>
                </c:pt>
                <c:pt idx="55">
                  <c:v>175370324529450.56</c:v>
                </c:pt>
                <c:pt idx="56">
                  <c:v>170753089832222.47</c:v>
                </c:pt>
                <c:pt idx="57">
                  <c:v>166012840542481</c:v>
                </c:pt>
                <c:pt idx="58">
                  <c:v>161632918194772.56</c:v>
                </c:pt>
                <c:pt idx="59">
                  <c:v>157416091980848.34</c:v>
                </c:pt>
                <c:pt idx="60">
                  <c:v>153019561854072.06</c:v>
                </c:pt>
                <c:pt idx="61">
                  <c:v>149071431137973.34</c:v>
                </c:pt>
                <c:pt idx="62">
                  <c:v>145366374120225.19</c:v>
                </c:pt>
                <c:pt idx="63">
                  <c:v>141601901013340.94</c:v>
                </c:pt>
                <c:pt idx="64">
                  <c:v>137813605029549.28</c:v>
                </c:pt>
                <c:pt idx="65">
                  <c:v>134016296376736.59</c:v>
                </c:pt>
                <c:pt idx="66">
                  <c:v>130704221813503.11</c:v>
                </c:pt>
                <c:pt idx="67">
                  <c:v>127660445425586.72</c:v>
                </c:pt>
                <c:pt idx="68">
                  <c:v>124436122043031.61</c:v>
                </c:pt>
                <c:pt idx="69">
                  <c:v>120807931898835.5</c:v>
                </c:pt>
                <c:pt idx="70">
                  <c:v>117712427874941.75</c:v>
                </c:pt>
                <c:pt idx="71">
                  <c:v>114504423868256.11</c:v>
                </c:pt>
                <c:pt idx="72">
                  <c:v>112317512307562.3</c:v>
                </c:pt>
                <c:pt idx="73">
                  <c:v>108987790890595.67</c:v>
                </c:pt>
                <c:pt idx="74">
                  <c:v>106648664194525.61</c:v>
                </c:pt>
                <c:pt idx="75">
                  <c:v>103796594095219.69</c:v>
                </c:pt>
                <c:pt idx="76">
                  <c:v>101210254725216.62</c:v>
                </c:pt>
                <c:pt idx="77">
                  <c:v>98748350560028.266</c:v>
                </c:pt>
                <c:pt idx="78">
                  <c:v>96081887136411.797</c:v>
                </c:pt>
                <c:pt idx="79">
                  <c:v>93599022348844.547</c:v>
                </c:pt>
                <c:pt idx="80">
                  <c:v>91604507294039.844</c:v>
                </c:pt>
                <c:pt idx="81">
                  <c:v>89376313330632.094</c:v>
                </c:pt>
                <c:pt idx="82">
                  <c:v>87451410565290.719</c:v>
                </c:pt>
                <c:pt idx="83">
                  <c:v>84810346276012.109</c:v>
                </c:pt>
                <c:pt idx="84">
                  <c:v>83359572535953.625</c:v>
                </c:pt>
                <c:pt idx="85">
                  <c:v>80883191619116.844</c:v>
                </c:pt>
                <c:pt idx="86">
                  <c:v>78951349988999.906</c:v>
                </c:pt>
                <c:pt idx="87">
                  <c:v>77183813292876.031</c:v>
                </c:pt>
                <c:pt idx="88">
                  <c:v>75116740873343.734</c:v>
                </c:pt>
                <c:pt idx="89">
                  <c:v>73389591894293.625</c:v>
                </c:pt>
                <c:pt idx="90">
                  <c:v>71564751169433.766</c:v>
                </c:pt>
                <c:pt idx="91">
                  <c:v>69531682260262.195</c:v>
                </c:pt>
                <c:pt idx="92">
                  <c:v>68081582881623.953</c:v>
                </c:pt>
                <c:pt idx="93">
                  <c:v>66508015231014.773</c:v>
                </c:pt>
                <c:pt idx="94">
                  <c:v>64766891556477.25</c:v>
                </c:pt>
                <c:pt idx="95">
                  <c:v>63140815157364.703</c:v>
                </c:pt>
                <c:pt idx="96">
                  <c:v>62003766329231.469</c:v>
                </c:pt>
                <c:pt idx="97">
                  <c:v>59900306901934.414</c:v>
                </c:pt>
                <c:pt idx="98">
                  <c:v>58400438908927.195</c:v>
                </c:pt>
                <c:pt idx="99">
                  <c:v>56964659320106.031</c:v>
                </c:pt>
                <c:pt idx="100">
                  <c:v>55301798495264.992</c:v>
                </c:pt>
                <c:pt idx="101">
                  <c:v>53711828868263.25</c:v>
                </c:pt>
                <c:pt idx="102">
                  <c:v>53002041192920.461</c:v>
                </c:pt>
                <c:pt idx="103">
                  <c:v>51578706325034.008</c:v>
                </c:pt>
                <c:pt idx="104">
                  <c:v>50019201462181.344</c:v>
                </c:pt>
                <c:pt idx="105">
                  <c:v>48672927777406.078</c:v>
                </c:pt>
                <c:pt idx="106">
                  <c:v>47309861570684.289</c:v>
                </c:pt>
                <c:pt idx="107">
                  <c:v>46258890782152.875</c:v>
                </c:pt>
                <c:pt idx="108">
                  <c:v>45162105855172.148</c:v>
                </c:pt>
                <c:pt idx="109">
                  <c:v>44090302799726.109</c:v>
                </c:pt>
                <c:pt idx="110">
                  <c:v>42833386054942.562</c:v>
                </c:pt>
                <c:pt idx="111">
                  <c:v>41645325503096.164</c:v>
                </c:pt>
                <c:pt idx="112">
                  <c:v>40492249313408.805</c:v>
                </c:pt>
                <c:pt idx="113">
                  <c:v>39294418552390.102</c:v>
                </c:pt>
                <c:pt idx="114">
                  <c:v>38183152619784.141</c:v>
                </c:pt>
                <c:pt idx="115">
                  <c:v>37151904592632.289</c:v>
                </c:pt>
                <c:pt idx="116">
                  <c:v>35933396426451.336</c:v>
                </c:pt>
                <c:pt idx="117">
                  <c:v>34809587734469.852</c:v>
                </c:pt>
                <c:pt idx="118">
                  <c:v>34068251611930.18</c:v>
                </c:pt>
              </c:numCache>
            </c:numRef>
          </c:xVal>
          <c:yVal>
            <c:numRef>
              <c:f>Calc!$S$12:$S$130</c:f>
              <c:numCache>
                <c:formatCode>0</c:formatCode>
                <c:ptCount val="119"/>
                <c:pt idx="0">
                  <c:v>3405.7796691369031</c:v>
                </c:pt>
                <c:pt idx="1">
                  <c:v>2626.6079539175253</c:v>
                </c:pt>
                <c:pt idx="2">
                  <c:v>2137.0468784798459</c:v>
                </c:pt>
                <c:pt idx="3">
                  <c:v>1803.2869747853447</c:v>
                </c:pt>
                <c:pt idx="4">
                  <c:v>1561.0871132125876</c:v>
                </c:pt>
                <c:pt idx="5">
                  <c:v>1377.082671368637</c:v>
                </c:pt>
                <c:pt idx="6">
                  <c:v>1233.3030592658693</c:v>
                </c:pt>
                <c:pt idx="7">
                  <c:v>1117.9544475284886</c:v>
                </c:pt>
                <c:pt idx="8">
                  <c:v>1023.3258220340671</c:v>
                </c:pt>
                <c:pt idx="9">
                  <c:v>944.44369202614973</c:v>
                </c:pt>
                <c:pt idx="10">
                  <c:v>877.82278894086357</c:v>
                </c:pt>
                <c:pt idx="11">
                  <c:v>820.62859536729411</c:v>
                </c:pt>
                <c:pt idx="12">
                  <c:v>771.43406208608837</c:v>
                </c:pt>
                <c:pt idx="13">
                  <c:v>728.14553178059032</c:v>
                </c:pt>
                <c:pt idx="14">
                  <c:v>690.17021472237616</c:v>
                </c:pt>
                <c:pt idx="15">
                  <c:v>656.23020803436555</c:v>
                </c:pt>
                <c:pt idx="16">
                  <c:v>626.08195460267279</c:v>
                </c:pt>
                <c:pt idx="17">
                  <c:v>598.87880435567149</c:v>
                </c:pt>
                <c:pt idx="18">
                  <c:v>574.35876649150509</c:v>
                </c:pt>
                <c:pt idx="19">
                  <c:v>552.06395219946978</c:v>
                </c:pt>
                <c:pt idx="20">
                  <c:v>531.95897066721159</c:v>
                </c:pt>
                <c:pt idx="21">
                  <c:v>513.28027518794397</c:v>
                </c:pt>
                <c:pt idx="22">
                  <c:v>496.17556268235558</c:v>
                </c:pt>
                <c:pt idx="23">
                  <c:v>480.59543460885254</c:v>
                </c:pt>
                <c:pt idx="24">
                  <c:v>465.96676576775127</c:v>
                </c:pt>
                <c:pt idx="25">
                  <c:v>452.4737145393205</c:v>
                </c:pt>
                <c:pt idx="26">
                  <c:v>439.89463784730259</c:v>
                </c:pt>
                <c:pt idx="27">
                  <c:v>428.28357796760537</c:v>
                </c:pt>
                <c:pt idx="28">
                  <c:v>417.60614277477737</c:v>
                </c:pt>
                <c:pt idx="29">
                  <c:v>407.40520099583705</c:v>
                </c:pt>
                <c:pt idx="30">
                  <c:v>397.87152290092229</c:v>
                </c:pt>
                <c:pt idx="31">
                  <c:v>389.17190436501176</c:v>
                </c:pt>
                <c:pt idx="32">
                  <c:v>380.30363250430821</c:v>
                </c:pt>
                <c:pt idx="33">
                  <c:v>372.38377538384293</c:v>
                </c:pt>
                <c:pt idx="34">
                  <c:v>364.81777731040961</c:v>
                </c:pt>
                <c:pt idx="35">
                  <c:v>357.76450491396861</c:v>
                </c:pt>
                <c:pt idx="36">
                  <c:v>351.00215394262023</c:v>
                </c:pt>
                <c:pt idx="37">
                  <c:v>344.74559708677123</c:v>
                </c:pt>
                <c:pt idx="38">
                  <c:v>338.56296991406293</c:v>
                </c:pt>
                <c:pt idx="39">
                  <c:v>332.80798729039498</c:v>
                </c:pt>
                <c:pt idx="40">
                  <c:v>327.2817119192581</c:v>
                </c:pt>
                <c:pt idx="41">
                  <c:v>322.18774608678723</c:v>
                </c:pt>
                <c:pt idx="42">
                  <c:v>317.13083301018298</c:v>
                </c:pt>
                <c:pt idx="43">
                  <c:v>312.46028474511382</c:v>
                </c:pt>
                <c:pt idx="44">
                  <c:v>307.90629929418577</c:v>
                </c:pt>
                <c:pt idx="45">
                  <c:v>303.55836961826651</c:v>
                </c:pt>
                <c:pt idx="46">
                  <c:v>299.24782448528276</c:v>
                </c:pt>
                <c:pt idx="47">
                  <c:v>295.57507955531946</c:v>
                </c:pt>
                <c:pt idx="48">
                  <c:v>291.49978349189155</c:v>
                </c:pt>
                <c:pt idx="49">
                  <c:v>287.76151940100669</c:v>
                </c:pt>
                <c:pt idx="50">
                  <c:v>284.25441031268679</c:v>
                </c:pt>
                <c:pt idx="51">
                  <c:v>280.69428824108343</c:v>
                </c:pt>
                <c:pt idx="52">
                  <c:v>277.5279402653652</c:v>
                </c:pt>
                <c:pt idx="53">
                  <c:v>274.4311606757808</c:v>
                </c:pt>
                <c:pt idx="54">
                  <c:v>271.30380448815356</c:v>
                </c:pt>
                <c:pt idx="55">
                  <c:v>268.31954686815618</c:v>
                </c:pt>
                <c:pt idx="56">
                  <c:v>265.6150227746902</c:v>
                </c:pt>
                <c:pt idx="57">
                  <c:v>262.8384434466268</c:v>
                </c:pt>
                <c:pt idx="58">
                  <c:v>260.27292397584944</c:v>
                </c:pt>
                <c:pt idx="59">
                  <c:v>257.80293731903873</c:v>
                </c:pt>
                <c:pt idx="60">
                  <c:v>255.22768991767668</c:v>
                </c:pt>
                <c:pt idx="61">
                  <c:v>252.91509041905204</c:v>
                </c:pt>
                <c:pt idx="62">
                  <c:v>250.74487022682735</c:v>
                </c:pt>
                <c:pt idx="63">
                  <c:v>248.5398473323045</c:v>
                </c:pt>
                <c:pt idx="64">
                  <c:v>246.32087029665684</c:v>
                </c:pt>
                <c:pt idx="65">
                  <c:v>244.09661413137587</c:v>
                </c:pt>
                <c:pt idx="66">
                  <c:v>242.15658161342782</c:v>
                </c:pt>
                <c:pt idx="67">
                  <c:v>240.37370352382482</c:v>
                </c:pt>
                <c:pt idx="68">
                  <c:v>238.48507085837227</c:v>
                </c:pt>
                <c:pt idx="69">
                  <c:v>236.35987508555507</c:v>
                </c:pt>
                <c:pt idx="70">
                  <c:v>234.54669776990607</c:v>
                </c:pt>
                <c:pt idx="71">
                  <c:v>232.66762410418463</c:v>
                </c:pt>
                <c:pt idx="72">
                  <c:v>231.38665066574833</c:v>
                </c:pt>
                <c:pt idx="73">
                  <c:v>229.43628158398559</c:v>
                </c:pt>
                <c:pt idx="74">
                  <c:v>228.06614882660404</c:v>
                </c:pt>
                <c:pt idx="75">
                  <c:v>226.39556181822488</c:v>
                </c:pt>
                <c:pt idx="76">
                  <c:v>224.88062536843773</c:v>
                </c:pt>
                <c:pt idx="77">
                  <c:v>223.43857627040219</c:v>
                </c:pt>
                <c:pt idx="78">
                  <c:v>221.87670752289284</c:v>
                </c:pt>
                <c:pt idx="79">
                  <c:v>220.42238083622362</c:v>
                </c:pt>
                <c:pt idx="80">
                  <c:v>219.2541027706234</c:v>
                </c:pt>
                <c:pt idx="81">
                  <c:v>217.9489483537233</c:v>
                </c:pt>
                <c:pt idx="82">
                  <c:v>216.82144536810068</c:v>
                </c:pt>
                <c:pt idx="83">
                  <c:v>215.27445404729244</c:v>
                </c:pt>
                <c:pt idx="84">
                  <c:v>214.42466996841264</c:v>
                </c:pt>
                <c:pt idx="85">
                  <c:v>212.97414117935085</c:v>
                </c:pt>
                <c:pt idx="86">
                  <c:v>211.84257378544115</c:v>
                </c:pt>
                <c:pt idx="87">
                  <c:v>210.80724725468843</c:v>
                </c:pt>
                <c:pt idx="88">
                  <c:v>209.59646904475247</c:v>
                </c:pt>
                <c:pt idx="89">
                  <c:v>208.58479943444428</c:v>
                </c:pt>
                <c:pt idx="90">
                  <c:v>207.51590733110714</c:v>
                </c:pt>
                <c:pt idx="91">
                  <c:v>206.32504652175041</c:v>
                </c:pt>
                <c:pt idx="92">
                  <c:v>205.47565744698636</c:v>
                </c:pt>
                <c:pt idx="93">
                  <c:v>204.55394739695879</c:v>
                </c:pt>
                <c:pt idx="94">
                  <c:v>203.53409217272301</c:v>
                </c:pt>
                <c:pt idx="95">
                  <c:v>202.58162536356201</c:v>
                </c:pt>
                <c:pt idx="96">
                  <c:v>201.91560421610342</c:v>
                </c:pt>
                <c:pt idx="97">
                  <c:v>200.68351248289173</c:v>
                </c:pt>
                <c:pt idx="98">
                  <c:v>199.80497167002343</c:v>
                </c:pt>
                <c:pt idx="99">
                  <c:v>198.96397034661123</c:v>
                </c:pt>
                <c:pt idx="100">
                  <c:v>197.98995722842102</c:v>
                </c:pt>
                <c:pt idx="101">
                  <c:v>197.05863979578393</c:v>
                </c:pt>
                <c:pt idx="102">
                  <c:v>196.64288491324305</c:v>
                </c:pt>
                <c:pt idx="103">
                  <c:v>195.80917302816604</c:v>
                </c:pt>
                <c:pt idx="104">
                  <c:v>194.89570019170952</c:v>
                </c:pt>
                <c:pt idx="105">
                  <c:v>194.10712654197505</c:v>
                </c:pt>
                <c:pt idx="106">
                  <c:v>193.30871674936012</c:v>
                </c:pt>
                <c:pt idx="107">
                  <c:v>192.69311541966843</c:v>
                </c:pt>
                <c:pt idx="108">
                  <c:v>192.05067866804512</c:v>
                </c:pt>
                <c:pt idx="109">
                  <c:v>191.42287493334555</c:v>
                </c:pt>
                <c:pt idx="110">
                  <c:v>190.68664170227575</c:v>
                </c:pt>
                <c:pt idx="111">
                  <c:v>189.99074067110357</c:v>
                </c:pt>
                <c:pt idx="112">
                  <c:v>189.31533156996267</c:v>
                </c:pt>
                <c:pt idx="113">
                  <c:v>188.61370768348044</c:v>
                </c:pt>
                <c:pt idx="114">
                  <c:v>187.96278874908342</c:v>
                </c:pt>
                <c:pt idx="115">
                  <c:v>187.35873993661005</c:v>
                </c:pt>
                <c:pt idx="116">
                  <c:v>186.64500435468267</c:v>
                </c:pt>
                <c:pt idx="117">
                  <c:v>185.98673855638242</c:v>
                </c:pt>
                <c:pt idx="118">
                  <c:v>185.55250431527512</c:v>
                </c:pt>
              </c:numCache>
            </c:numRef>
          </c:yVal>
          <c:smooth val="0"/>
        </c:ser>
        <c:ser>
          <c:idx val="3"/>
          <c:order val="3"/>
          <c:tx>
            <c:v>Specified MCD</c:v>
          </c:tx>
          <c:spPr>
            <a:ln w="28575">
              <a:noFill/>
            </a:ln>
          </c:spPr>
          <c:marker>
            <c:symbol val="diamond"/>
            <c:size val="15"/>
            <c:spPr>
              <a:solidFill>
                <a:srgbClr val="FF0000"/>
              </a:solidFill>
              <a:ln>
                <a:noFill/>
              </a:ln>
            </c:spPr>
          </c:marker>
          <c:xVal>
            <c:numRef>
              <c:f>Calc!$S$6</c:f>
              <c:numCache>
                <c:formatCode>0.00E+00</c:formatCode>
                <c:ptCount val="1"/>
                <c:pt idx="0">
                  <c:v>1000000000000000</c:v>
                </c:pt>
              </c:numCache>
            </c:numRef>
          </c:xVal>
          <c:yVal>
            <c:numRef>
              <c:f>Calc!$R$6</c:f>
              <c:numCache>
                <c:formatCode>0.00E+00</c:formatCode>
                <c:ptCount val="1"/>
                <c:pt idx="0">
                  <c:v>751.34260541789877</c:v>
                </c:pt>
              </c:numCache>
            </c:numRef>
          </c:yVal>
          <c:smooth val="0"/>
        </c:ser>
        <c:dLbls>
          <c:showLegendKey val="0"/>
          <c:showVal val="0"/>
          <c:showCatName val="0"/>
          <c:showSerName val="0"/>
          <c:showPercent val="0"/>
          <c:showBubbleSize val="0"/>
        </c:dLbls>
        <c:axId val="70626112"/>
        <c:axId val="70626688"/>
      </c:scatterChart>
      <c:valAx>
        <c:axId val="70626112"/>
        <c:scaling>
          <c:orientation val="minMax"/>
          <c:min val="0"/>
        </c:scaling>
        <c:delete val="0"/>
        <c:axPos val="b"/>
        <c:majorGridlines/>
        <c:title>
          <c:tx>
            <c:rich>
              <a:bodyPr/>
              <a:lstStyle/>
              <a:p>
                <a:pPr>
                  <a:defRPr sz="1200">
                    <a:latin typeface="Arial" pitchFamily="34" charset="0"/>
                    <a:cs typeface="Arial" pitchFamily="34" charset="0"/>
                  </a:defRPr>
                </a:pPr>
                <a:r>
                  <a:rPr lang="en-US" sz="1200">
                    <a:latin typeface="Arial" pitchFamily="34" charset="0"/>
                    <a:cs typeface="Arial" pitchFamily="34" charset="0"/>
                  </a:rPr>
                  <a:t>Minority Carrier Density (cm</a:t>
                </a:r>
                <a:r>
                  <a:rPr lang="en-US" sz="1200" baseline="30000">
                    <a:latin typeface="Arial" pitchFamily="34" charset="0"/>
                    <a:cs typeface="Arial" pitchFamily="34" charset="0"/>
                  </a:rPr>
                  <a:t>-3</a:t>
                </a:r>
                <a:r>
                  <a:rPr lang="en-US" sz="1200">
                    <a:latin typeface="Arial" pitchFamily="34" charset="0"/>
                    <a:cs typeface="Arial" pitchFamily="34" charset="0"/>
                  </a:rPr>
                  <a:t>)</a:t>
                </a:r>
              </a:p>
            </c:rich>
          </c:tx>
          <c:layout/>
          <c:overlay val="0"/>
        </c:title>
        <c:numFmt formatCode="0.00E+00" sourceLinked="1"/>
        <c:majorTickMark val="out"/>
        <c:minorTickMark val="none"/>
        <c:tickLblPos val="nextTo"/>
        <c:txPr>
          <a:bodyPr/>
          <a:lstStyle/>
          <a:p>
            <a:pPr>
              <a:defRPr sz="1000" b="1" baseline="0">
                <a:latin typeface="Arial" pitchFamily="34" charset="0"/>
                <a:cs typeface="Arial" pitchFamily="34" charset="0"/>
              </a:defRPr>
            </a:pPr>
            <a:endParaRPr lang="en-US"/>
          </a:p>
        </c:txPr>
        <c:crossAx val="70626688"/>
        <c:crosses val="autoZero"/>
        <c:crossBetween val="midCat"/>
      </c:valAx>
      <c:valAx>
        <c:axId val="70626688"/>
        <c:scaling>
          <c:orientation val="minMax"/>
          <c:max val="3012.1702232864286"/>
          <c:min val="0"/>
        </c:scaling>
        <c:delete val="0"/>
        <c:axPos val="l"/>
        <c:majorGridlines/>
        <c:title>
          <c:tx>
            <c:rich>
              <a:bodyPr rot="-5400000" vert="horz"/>
              <a:lstStyle/>
              <a:p>
                <a:pPr>
                  <a:defRPr sz="1200">
                    <a:solidFill>
                      <a:sysClr val="windowText" lastClr="000000"/>
                    </a:solidFill>
                    <a:latin typeface="Arial" pitchFamily="34" charset="0"/>
                    <a:cs typeface="Arial" pitchFamily="34" charset="0"/>
                  </a:defRPr>
                </a:pPr>
                <a:r>
                  <a:rPr lang="en-US" sz="1200">
                    <a:solidFill>
                      <a:sysClr val="windowText" lastClr="000000"/>
                    </a:solidFill>
                    <a:latin typeface="Arial" pitchFamily="34" charset="0"/>
                    <a:cs typeface="Arial" pitchFamily="34" charset="0"/>
                  </a:rPr>
                  <a:t>Inverse</a:t>
                </a:r>
                <a:r>
                  <a:rPr lang="en-US" sz="1200" baseline="0">
                    <a:solidFill>
                      <a:sysClr val="windowText" lastClr="000000"/>
                    </a:solidFill>
                    <a:latin typeface="Arial" pitchFamily="34" charset="0"/>
                    <a:cs typeface="Arial" pitchFamily="34" charset="0"/>
                  </a:rPr>
                  <a:t> Lifetime - Auger Term (s</a:t>
                </a:r>
                <a:r>
                  <a:rPr lang="en-US" sz="1200" baseline="30000">
                    <a:solidFill>
                      <a:sysClr val="windowText" lastClr="000000"/>
                    </a:solidFill>
                    <a:latin typeface="Arial" pitchFamily="34" charset="0"/>
                    <a:cs typeface="Arial" pitchFamily="34" charset="0"/>
                  </a:rPr>
                  <a:t>-1</a:t>
                </a:r>
                <a:r>
                  <a:rPr lang="en-US" sz="1200" baseline="0">
                    <a:solidFill>
                      <a:sysClr val="windowText" lastClr="000000"/>
                    </a:solidFill>
                    <a:latin typeface="Arial" pitchFamily="34" charset="0"/>
                    <a:cs typeface="Arial" pitchFamily="34" charset="0"/>
                  </a:rPr>
                  <a:t>)</a:t>
                </a:r>
              </a:p>
            </c:rich>
          </c:tx>
          <c:layout/>
          <c:overlay val="0"/>
        </c:title>
        <c:numFmt formatCode="0" sourceLinked="0"/>
        <c:majorTickMark val="out"/>
        <c:minorTickMark val="none"/>
        <c:tickLblPos val="nextTo"/>
        <c:spPr>
          <a:ln>
            <a:solidFill>
              <a:schemeClr val="tx1"/>
            </a:solidFill>
          </a:ln>
        </c:spPr>
        <c:txPr>
          <a:bodyPr/>
          <a:lstStyle/>
          <a:p>
            <a:pPr>
              <a:defRPr sz="1000" b="1" baseline="0">
                <a:solidFill>
                  <a:sysClr val="windowText" lastClr="000000"/>
                </a:solidFill>
                <a:latin typeface="Arial" pitchFamily="34" charset="0"/>
                <a:cs typeface="Arial" pitchFamily="34" charset="0"/>
              </a:defRPr>
            </a:pPr>
            <a:endParaRPr lang="en-US"/>
          </a:p>
        </c:txPr>
        <c:crossAx val="70626112"/>
        <c:crosses val="autoZero"/>
        <c:crossBetween val="midCat"/>
      </c:valAx>
      <c:spPr>
        <a:ln>
          <a:solidFill>
            <a:sysClr val="windowText" lastClr="000000"/>
          </a:solidFill>
        </a:ln>
      </c:spPr>
    </c:plotArea>
    <c:legend>
      <c:legendPos val="r"/>
      <c:layout>
        <c:manualLayout>
          <c:xMode val="edge"/>
          <c:yMode val="edge"/>
          <c:x val="0.57450408298351763"/>
          <c:y val="0.11153461889083408"/>
          <c:w val="0.33226604950612693"/>
          <c:h val="0.19316236800548306"/>
        </c:manualLayout>
      </c:layout>
      <c:overlay val="0"/>
      <c:spPr>
        <a:solidFill>
          <a:schemeClr val="bg1"/>
        </a:solidFill>
        <a:ln>
          <a:solidFill>
            <a:schemeClr val="tx1"/>
          </a:solidFill>
        </a:ln>
      </c:spPr>
      <c:txPr>
        <a:bodyPr/>
        <a:lstStyle/>
        <a:p>
          <a:pPr>
            <a:defRPr sz="1000" baseline="0">
              <a:latin typeface="Arial" pitchFamily="34" charset="0"/>
              <a:cs typeface="Arial" pitchFamily="34" charset="0"/>
            </a:defRPr>
          </a:pPr>
          <a:endParaRPr lang="en-US"/>
        </a:p>
      </c:txPr>
    </c:legend>
    <c:plotVisOnly val="1"/>
    <c:dispBlanksAs val="gap"/>
    <c:showDLblsOverMax val="0"/>
  </c:chart>
  <c:printSettings>
    <c:headerFooter/>
    <c:pageMargins b="0.7500000000000101" l="0.70000000000000062" r="0.70000000000000062" t="0.750000000000010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latin typeface="Arial" pitchFamily="34" charset="0"/>
                <a:cs typeface="Arial" pitchFamily="34" charset="0"/>
              </a:defRPr>
            </a:pPr>
            <a:r>
              <a:rPr lang="en-US" sz="1200">
                <a:latin typeface="Arial" pitchFamily="34" charset="0"/>
                <a:cs typeface="Arial" pitchFamily="34" charset="0"/>
              </a:rPr>
              <a:t>Implied V</a:t>
            </a:r>
            <a:r>
              <a:rPr lang="en-US" sz="1200" baseline="-25000">
                <a:latin typeface="Arial" pitchFamily="34" charset="0"/>
                <a:cs typeface="Arial" pitchFamily="34" charset="0"/>
              </a:rPr>
              <a:t>oc</a:t>
            </a:r>
          </a:p>
        </c:rich>
      </c:tx>
      <c:layout/>
      <c:overlay val="0"/>
    </c:title>
    <c:autoTitleDeleted val="0"/>
    <c:plotArea>
      <c:layout>
        <c:manualLayout>
          <c:layoutTarget val="inner"/>
          <c:xMode val="edge"/>
          <c:yMode val="edge"/>
          <c:x val="0.14277989739770244"/>
          <c:y val="0.11914712828758829"/>
          <c:w val="0.78211048011508755"/>
          <c:h val="0.74692073241282175"/>
        </c:manualLayout>
      </c:layout>
      <c:scatterChart>
        <c:scatterStyle val="lineMarker"/>
        <c:varyColors val="0"/>
        <c:ser>
          <c:idx val="0"/>
          <c:order val="0"/>
          <c:tx>
            <c:v>Implied Voc</c:v>
          </c:tx>
          <c:spPr>
            <a:ln w="28575">
              <a:noFill/>
            </a:ln>
          </c:spPr>
          <c:marker>
            <c:symbol val="diamond"/>
            <c:size val="4"/>
            <c:spPr>
              <a:solidFill>
                <a:srgbClr val="2004EC"/>
              </a:solidFill>
              <a:ln>
                <a:solidFill>
                  <a:srgbClr val="2004EC"/>
                </a:solidFill>
              </a:ln>
            </c:spPr>
          </c:marker>
          <c:xVal>
            <c:numRef>
              <c:f>Calc!$V$15:$V$130</c:f>
              <c:numCache>
                <c:formatCode>0.0000</c:formatCode>
                <c:ptCount val="1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numCache>
            </c:numRef>
          </c:xVal>
          <c:yVal>
            <c:numRef>
              <c:f>Calc!$W$15:$W$130</c:f>
              <c:numCache>
                <c:formatCode>0.00</c:formatCode>
                <c:ptCount val="116"/>
                <c:pt idx="0">
                  <c:v>1.152697526919348</c:v>
                </c:pt>
                <c:pt idx="1">
                  <c:v>0.83732114713200512</c:v>
                </c:pt>
                <c:pt idx="2">
                  <c:v>0.63668016578282505</c:v>
                </c:pt>
                <c:pt idx="3">
                  <c:v>0.50030683422835343</c:v>
                </c:pt>
                <c:pt idx="4">
                  <c:v>0.40306986708344217</c:v>
                </c:pt>
                <c:pt idx="5">
                  <c:v>0.33155266687671126</c:v>
                </c:pt>
                <c:pt idx="6">
                  <c:v>0.27745420135070342</c:v>
                </c:pt>
                <c:pt idx="7">
                  <c:v>0.23526144483386457</c:v>
                </c:pt>
                <c:pt idx="8">
                  <c:v>0.20204378664587005</c:v>
                </c:pt>
                <c:pt idx="9">
                  <c:v>0.17535496053364699</c:v>
                </c:pt>
                <c:pt idx="10">
                  <c:v>0.15371521202154229</c:v>
                </c:pt>
                <c:pt idx="11">
                  <c:v>0.13593146057416822</c:v>
                </c:pt>
                <c:pt idx="12">
                  <c:v>0.12093788736368967</c:v>
                </c:pt>
                <c:pt idx="13">
                  <c:v>0.10832482669272449</c:v>
                </c:pt>
                <c:pt idx="14">
                  <c:v>9.7484408113584026E-2</c:v>
                </c:pt>
                <c:pt idx="15">
                  <c:v>8.8114834361787173E-2</c:v>
                </c:pt>
                <c:pt idx="16">
                  <c:v>8.0068858018589747E-2</c:v>
                </c:pt>
                <c:pt idx="17">
                  <c:v>7.3153907064825094E-2</c:v>
                </c:pt>
                <c:pt idx="18">
                  <c:v>6.6995096183311717E-2</c:v>
                </c:pt>
                <c:pt idx="19">
                  <c:v>6.1727869918363779E-2</c:v>
                </c:pt>
                <c:pt idx="20">
                  <c:v>5.6911922515127777E-2</c:v>
                </c:pt>
                <c:pt idx="21">
                  <c:v>5.2736604269493781E-2</c:v>
                </c:pt>
                <c:pt idx="22">
                  <c:v>4.8992607096507643E-2</c:v>
                </c:pt>
                <c:pt idx="23">
                  <c:v>4.5324807619125045E-2</c:v>
                </c:pt>
                <c:pt idx="24">
                  <c:v>4.2143800323584259E-2</c:v>
                </c:pt>
                <c:pt idx="25">
                  <c:v>3.9332009278606139E-2</c:v>
                </c:pt>
                <c:pt idx="26">
                  <c:v>3.6720496604203144E-2</c:v>
                </c:pt>
                <c:pt idx="27">
                  <c:v>3.4801346047687025E-2</c:v>
                </c:pt>
                <c:pt idx="28">
                  <c:v>3.2841738513980874E-2</c:v>
                </c:pt>
                <c:pt idx="29">
                  <c:v>3.1074229380576957E-2</c:v>
                </c:pt>
                <c:pt idx="30">
                  <c:v>2.9351761664454183E-2</c:v>
                </c:pt>
                <c:pt idx="31">
                  <c:v>2.7448064102030396E-2</c:v>
                </c:pt>
                <c:pt idx="32">
                  <c:v>2.5899800610629697E-2</c:v>
                </c:pt>
                <c:pt idx="33">
                  <c:v>2.4564003971219144E-2</c:v>
                </c:pt>
                <c:pt idx="34">
                  <c:v>2.3373335772990854E-2</c:v>
                </c:pt>
                <c:pt idx="35">
                  <c:v>2.2258605874996371E-2</c:v>
                </c:pt>
                <c:pt idx="36">
                  <c:v>2.114094891643083E-2</c:v>
                </c:pt>
                <c:pt idx="37">
                  <c:v>2.0049190590773005E-2</c:v>
                </c:pt>
                <c:pt idx="38">
                  <c:v>1.9060224039137881E-2</c:v>
                </c:pt>
                <c:pt idx="39">
                  <c:v>1.8172557181959877E-2</c:v>
                </c:pt>
                <c:pt idx="40">
                  <c:v>1.7424712053464912E-2</c:v>
                </c:pt>
                <c:pt idx="41">
                  <c:v>1.6744208773604611E-2</c:v>
                </c:pt>
                <c:pt idx="42">
                  <c:v>1.5904880235284757E-2</c:v>
                </c:pt>
                <c:pt idx="43">
                  <c:v>1.5292897922717508E-2</c:v>
                </c:pt>
                <c:pt idx="44">
                  <c:v>1.4747634374050939E-2</c:v>
                </c:pt>
                <c:pt idx="45">
                  <c:v>1.4169843239127289E-2</c:v>
                </c:pt>
                <c:pt idx="46">
                  <c:v>1.387241727843525E-2</c:v>
                </c:pt>
                <c:pt idx="47">
                  <c:v>1.3124182949611001E-2</c:v>
                </c:pt>
                <c:pt idx="48">
                  <c:v>1.2515511925095705E-2</c:v>
                </c:pt>
                <c:pt idx="49">
                  <c:v>1.2057115353819661E-2</c:v>
                </c:pt>
                <c:pt idx="50">
                  <c:v>1.1610762122884736E-2</c:v>
                </c:pt>
                <c:pt idx="51">
                  <c:v>1.122234382127397E-2</c:v>
                </c:pt>
                <c:pt idx="52">
                  <c:v>1.0823780734741256E-2</c:v>
                </c:pt>
                <c:pt idx="53">
                  <c:v>1.0324710592945782E-2</c:v>
                </c:pt>
                <c:pt idx="54">
                  <c:v>9.8870444145992675E-3</c:v>
                </c:pt>
                <c:pt idx="55">
                  <c:v>9.6751939196449317E-3</c:v>
                </c:pt>
                <c:pt idx="56">
                  <c:v>9.3309858264589898E-3</c:v>
                </c:pt>
                <c:pt idx="57">
                  <c:v>8.9756241618880964E-3</c:v>
                </c:pt>
                <c:pt idx="58">
                  <c:v>8.6251472874885465E-3</c:v>
                </c:pt>
                <c:pt idx="59">
                  <c:v>8.3177183285954026E-3</c:v>
                </c:pt>
                <c:pt idx="60">
                  <c:v>8.2697625902227664E-3</c:v>
                </c:pt>
                <c:pt idx="61">
                  <c:v>8.104396192239266E-3</c:v>
                </c:pt>
                <c:pt idx="62">
                  <c:v>7.6833409560403609E-3</c:v>
                </c:pt>
                <c:pt idx="63">
                  <c:v>7.2702204923992281E-3</c:v>
                </c:pt>
                <c:pt idx="64">
                  <c:v>7.176685254864373E-3</c:v>
                </c:pt>
                <c:pt idx="65">
                  <c:v>7.2099005549624519E-3</c:v>
                </c:pt>
                <c:pt idx="66">
                  <c:v>7.2537350777093302E-3</c:v>
                </c:pt>
                <c:pt idx="67">
                  <c:v>6.705899870810288E-3</c:v>
                </c:pt>
                <c:pt idx="68">
                  <c:v>6.3753271010611691E-3</c:v>
                </c:pt>
                <c:pt idx="69">
                  <c:v>6.0698937585341693E-3</c:v>
                </c:pt>
                <c:pt idx="70">
                  <c:v>5.9470094942288155E-3</c:v>
                </c:pt>
                <c:pt idx="71">
                  <c:v>6.0175370833371617E-3</c:v>
                </c:pt>
                <c:pt idx="72">
                  <c:v>5.6907207769971218E-3</c:v>
                </c:pt>
                <c:pt idx="73">
                  <c:v>5.7487993198428369E-3</c:v>
                </c:pt>
                <c:pt idx="74">
                  <c:v>5.6042577785980225E-3</c:v>
                </c:pt>
                <c:pt idx="75">
                  <c:v>5.3489636189427937E-3</c:v>
                </c:pt>
                <c:pt idx="76">
                  <c:v>5.0987897190878893E-3</c:v>
                </c:pt>
                <c:pt idx="77">
                  <c:v>4.7172185829287639E-3</c:v>
                </c:pt>
                <c:pt idx="78">
                  <c:v>4.7714061262076829E-3</c:v>
                </c:pt>
                <c:pt idx="79">
                  <c:v>4.6232799049355112E-3</c:v>
                </c:pt>
                <c:pt idx="80">
                  <c:v>4.6281642662682086E-3</c:v>
                </c:pt>
                <c:pt idx="81">
                  <c:v>4.5950515140874455E-3</c:v>
                </c:pt>
                <c:pt idx="82">
                  <c:v>4.3170756850586453E-3</c:v>
                </c:pt>
                <c:pt idx="83">
                  <c:v>4.432077402088795E-3</c:v>
                </c:pt>
                <c:pt idx="84">
                  <c:v>4.1327490846511513E-3</c:v>
                </c:pt>
                <c:pt idx="85">
                  <c:v>4.07689217357716E-3</c:v>
                </c:pt>
                <c:pt idx="86">
                  <c:v>4.140311860493213E-3</c:v>
                </c:pt>
                <c:pt idx="87">
                  <c:v>3.9365429604150967E-3</c:v>
                </c:pt>
                <c:pt idx="88">
                  <c:v>3.7868156834178716E-3</c:v>
                </c:pt>
                <c:pt idx="89">
                  <c:v>3.6491580017498667E-3</c:v>
                </c:pt>
                <c:pt idx="90">
                  <c:v>3.5343302769419698E-3</c:v>
                </c:pt>
                <c:pt idx="91">
                  <c:v>3.4083852455938819E-3</c:v>
                </c:pt>
                <c:pt idx="92">
                  <c:v>3.5085792477929745E-3</c:v>
                </c:pt>
                <c:pt idx="93">
                  <c:v>3.5075222549325112E-3</c:v>
                </c:pt>
                <c:pt idx="94">
                  <c:v>3.5036191633540585E-3</c:v>
                </c:pt>
                <c:pt idx="95">
                  <c:v>3.5878547673306922E-3</c:v>
                </c:pt>
                <c:pt idx="96">
                  <c:v>3.3980133720626759E-3</c:v>
                </c:pt>
                <c:pt idx="97">
                  <c:v>3.0849096307480448E-3</c:v>
                </c:pt>
                <c:pt idx="98">
                  <c:v>2.8701760683342496E-3</c:v>
                </c:pt>
                <c:pt idx="99">
                  <c:v>2.7881994528855918E-3</c:v>
                </c:pt>
                <c:pt idx="100">
                  <c:v>2.8677560778166663E-3</c:v>
                </c:pt>
                <c:pt idx="101">
                  <c:v>3.1377194000746407E-3</c:v>
                </c:pt>
                <c:pt idx="102">
                  <c:v>2.9310651734607259E-3</c:v>
                </c:pt>
                <c:pt idx="103">
                  <c:v>2.663023792660783E-3</c:v>
                </c:pt>
                <c:pt idx="104">
                  <c:v>2.4840234491141835E-3</c:v>
                </c:pt>
                <c:pt idx="105">
                  <c:v>2.4419826617714069E-3</c:v>
                </c:pt>
                <c:pt idx="106">
                  <c:v>2.5373454323006422E-3</c:v>
                </c:pt>
                <c:pt idx="107">
                  <c:v>2.5875923778797896E-3</c:v>
                </c:pt>
                <c:pt idx="108">
                  <c:v>2.6201362648576852E-3</c:v>
                </c:pt>
                <c:pt idx="109">
                  <c:v>2.5583197452410467E-3</c:v>
                </c:pt>
                <c:pt idx="110">
                  <c:v>2.4802759731788622E-3</c:v>
                </c:pt>
                <c:pt idx="111">
                  <c:v>2.4724331158640016E-3</c:v>
                </c:pt>
                <c:pt idx="112">
                  <c:v>2.4634741450569654E-3</c:v>
                </c:pt>
                <c:pt idx="113">
                  <c:v>2.3213451803646284E-3</c:v>
                </c:pt>
                <c:pt idx="114">
                  <c:v>2.0268542938505054E-3</c:v>
                </c:pt>
                <c:pt idx="115">
                  <c:v>1.9747868726519902E-3</c:v>
                </c:pt>
              </c:numCache>
            </c:numRef>
          </c:yVal>
          <c:smooth val="0"/>
        </c:ser>
        <c:dLbls>
          <c:showLegendKey val="0"/>
          <c:showVal val="0"/>
          <c:showCatName val="0"/>
          <c:showSerName val="0"/>
          <c:showPercent val="0"/>
          <c:showBubbleSize val="0"/>
        </c:dLbls>
        <c:axId val="70628992"/>
        <c:axId val="70629568"/>
      </c:scatterChart>
      <c:valAx>
        <c:axId val="70628992"/>
        <c:scaling>
          <c:orientation val="minMax"/>
          <c:min val="0.4"/>
        </c:scaling>
        <c:delete val="0"/>
        <c:axPos val="b"/>
        <c:majorGridlines/>
        <c:title>
          <c:tx>
            <c:rich>
              <a:bodyPr/>
              <a:lstStyle/>
              <a:p>
                <a:pPr>
                  <a:defRPr sz="1200" baseline="0">
                    <a:latin typeface="Arial" pitchFamily="34" charset="0"/>
                    <a:cs typeface="Arial" pitchFamily="34" charset="0"/>
                  </a:defRPr>
                </a:pPr>
                <a:r>
                  <a:rPr lang="en-US" sz="1200" baseline="0">
                    <a:latin typeface="Arial" pitchFamily="34" charset="0"/>
                    <a:cs typeface="Arial" pitchFamily="34" charset="0"/>
                  </a:rPr>
                  <a:t>Implied Open Circuit Voltage (V)</a:t>
                </a:r>
              </a:p>
            </c:rich>
          </c:tx>
          <c:layout/>
          <c:overlay val="0"/>
        </c:title>
        <c:numFmt formatCode="0.0000" sourceLinked="1"/>
        <c:majorTickMark val="out"/>
        <c:minorTickMark val="none"/>
        <c:tickLblPos val="low"/>
        <c:txPr>
          <a:bodyPr/>
          <a:lstStyle/>
          <a:p>
            <a:pPr>
              <a:defRPr sz="1000" b="1" baseline="0">
                <a:latin typeface="Arial" pitchFamily="34" charset="0"/>
                <a:cs typeface="Arial" pitchFamily="34" charset="0"/>
              </a:defRPr>
            </a:pPr>
            <a:endParaRPr lang="en-US"/>
          </a:p>
        </c:txPr>
        <c:crossAx val="70629568"/>
        <c:crosses val="autoZero"/>
        <c:crossBetween val="midCat"/>
      </c:valAx>
      <c:valAx>
        <c:axId val="70629568"/>
        <c:scaling>
          <c:logBase val="10"/>
          <c:orientation val="minMax"/>
          <c:min val="1.0000000000000005E-2"/>
        </c:scaling>
        <c:delete val="0"/>
        <c:axPos val="l"/>
        <c:majorGridlines/>
        <c:minorGridlines>
          <c:spPr>
            <a:ln>
              <a:solidFill>
                <a:sysClr val="windowText" lastClr="000000">
                  <a:alpha val="14000"/>
                </a:sysClr>
              </a:solidFill>
            </a:ln>
          </c:spPr>
        </c:minorGridlines>
        <c:title>
          <c:tx>
            <c:rich>
              <a:bodyPr rot="-5400000" vert="horz"/>
              <a:lstStyle/>
              <a:p>
                <a:pPr>
                  <a:defRPr sz="1200" baseline="0">
                    <a:solidFill>
                      <a:sysClr val="windowText" lastClr="000000"/>
                    </a:solidFill>
                    <a:latin typeface="Arial" pitchFamily="34" charset="0"/>
                    <a:cs typeface="Arial" pitchFamily="34" charset="0"/>
                  </a:defRPr>
                </a:pPr>
                <a:r>
                  <a:rPr lang="en-US" sz="1200" baseline="0">
                    <a:solidFill>
                      <a:sysClr val="windowText" lastClr="000000"/>
                    </a:solidFill>
                    <a:latin typeface="Arial" pitchFamily="34" charset="0"/>
                    <a:cs typeface="Arial" pitchFamily="34" charset="0"/>
                  </a:rPr>
                  <a:t>Illumination (suns)</a:t>
                </a:r>
              </a:p>
            </c:rich>
          </c:tx>
          <c:layout>
            <c:manualLayout>
              <c:xMode val="edge"/>
              <c:yMode val="edge"/>
              <c:x val="1.8071371958637901E-2"/>
              <c:y val="0.32461372998119942"/>
            </c:manualLayout>
          </c:layout>
          <c:overlay val="0"/>
        </c:title>
        <c:numFmt formatCode="0.00" sourceLinked="0"/>
        <c:majorTickMark val="out"/>
        <c:minorTickMark val="none"/>
        <c:tickLblPos val="nextTo"/>
        <c:spPr>
          <a:ln>
            <a:solidFill>
              <a:schemeClr val="tx1"/>
            </a:solidFill>
          </a:ln>
        </c:spPr>
        <c:txPr>
          <a:bodyPr/>
          <a:lstStyle/>
          <a:p>
            <a:pPr>
              <a:defRPr sz="1000" b="1" baseline="0">
                <a:solidFill>
                  <a:sysClr val="windowText" lastClr="000000"/>
                </a:solidFill>
                <a:latin typeface="Arial" pitchFamily="34" charset="0"/>
                <a:cs typeface="Arial" pitchFamily="34" charset="0"/>
              </a:defRPr>
            </a:pPr>
            <a:endParaRPr lang="en-US"/>
          </a:p>
        </c:txPr>
        <c:crossAx val="70628992"/>
        <c:crosses val="autoZero"/>
        <c:crossBetween val="midCat"/>
      </c:valAx>
      <c:spPr>
        <a:ln>
          <a:solidFill>
            <a:sysClr val="windowText" lastClr="000000"/>
          </a:solidFill>
        </a:ln>
      </c:spPr>
    </c:plotArea>
    <c:plotVisOnly val="1"/>
    <c:dispBlanksAs val="gap"/>
    <c:showDLblsOverMax val="0"/>
  </c:chart>
  <c:printSettings>
    <c:headerFooter/>
    <c:pageMargins b="0.7500000000000101" l="0.70000000000000062" r="0.70000000000000062" t="0.750000000000010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latin typeface="Arial" pitchFamily="34" charset="0"/>
                <a:cs typeface="Arial" pitchFamily="34" charset="0"/>
              </a:defRPr>
            </a:pPr>
            <a:r>
              <a:rPr lang="en-US" sz="1200">
                <a:latin typeface="Arial" pitchFamily="34" charset="0"/>
                <a:cs typeface="Arial" pitchFamily="34" charset="0"/>
              </a:rPr>
              <a:t>Minority Carrier Lifetime (no</a:t>
            </a:r>
            <a:r>
              <a:rPr lang="en-US" sz="1200" baseline="0">
                <a:latin typeface="Arial" pitchFamily="34" charset="0"/>
                <a:cs typeface="Arial" pitchFamily="34" charset="0"/>
              </a:rPr>
              <a:t> Auger Correction)  vs Minority Carrier Density</a:t>
            </a:r>
            <a:endParaRPr lang="en-US" sz="1200" baseline="-25000">
              <a:latin typeface="Arial" pitchFamily="34" charset="0"/>
              <a:cs typeface="Arial" pitchFamily="34" charset="0"/>
            </a:endParaRPr>
          </a:p>
        </c:rich>
      </c:tx>
      <c:layout/>
      <c:overlay val="0"/>
    </c:title>
    <c:autoTitleDeleted val="0"/>
    <c:plotArea>
      <c:layout>
        <c:manualLayout>
          <c:layoutTarget val="inner"/>
          <c:xMode val="edge"/>
          <c:yMode val="edge"/>
          <c:x val="0.20028010770872823"/>
          <c:y val="0.15809193315655617"/>
          <c:w val="0.6849045629151016"/>
          <c:h val="0.70089497782069665"/>
        </c:manualLayout>
      </c:layout>
      <c:scatterChart>
        <c:scatterStyle val="lineMarker"/>
        <c:varyColors val="0"/>
        <c:ser>
          <c:idx val="0"/>
          <c:order val="0"/>
          <c:tx>
            <c:v>Minority Carrier Density</c:v>
          </c:tx>
          <c:spPr>
            <a:ln w="28575">
              <a:noFill/>
            </a:ln>
          </c:spPr>
          <c:marker>
            <c:symbol val="square"/>
            <c:size val="6"/>
            <c:spPr>
              <a:solidFill>
                <a:srgbClr val="FF0000"/>
              </a:solidFill>
              <a:ln>
                <a:noFill/>
              </a:ln>
            </c:spPr>
          </c:marker>
          <c:xVal>
            <c:numRef>
              <c:f>Calc!$T$12:$T$131</c:f>
              <c:numCache>
                <c:formatCode>0.00E+00</c:formatCode>
                <c:ptCount val="120"/>
                <c:pt idx="0">
                  <c:v>5531724802090750</c:v>
                </c:pt>
                <c:pt idx="1">
                  <c:v>4201502347315294.5</c:v>
                </c:pt>
                <c:pt idx="2">
                  <c:v>3365710797377079.5</c:v>
                </c:pt>
                <c:pt idx="3">
                  <c:v>2795907107476559</c:v>
                </c:pt>
                <c:pt idx="4">
                  <c:v>2382417130730062.5</c:v>
                </c:pt>
                <c:pt idx="5">
                  <c:v>2068279905856168</c:v>
                </c:pt>
                <c:pt idx="6">
                  <c:v>1822815568763083.2</c:v>
                </c:pt>
                <c:pt idx="7">
                  <c:v>1625889383606275</c:v>
                </c:pt>
                <c:pt idx="8">
                  <c:v>1464336904173964.5</c:v>
                </c:pt>
                <c:pt idx="9">
                  <c:v>1329667256177945</c:v>
                </c:pt>
                <c:pt idx="10">
                  <c:v>1215930297417172</c:v>
                </c:pt>
                <c:pt idx="11">
                  <c:v>1118286865182320.7</c:v>
                </c:pt>
                <c:pt idx="12">
                  <c:v>1034300663495785.6</c:v>
                </c:pt>
                <c:pt idx="13">
                  <c:v>960397345495608.25</c:v>
                </c:pt>
                <c:pt idx="14">
                  <c:v>895564884959189.62</c:v>
                </c:pt>
                <c:pt idx="15">
                  <c:v>837621612468979.5</c:v>
                </c:pt>
                <c:pt idx="16">
                  <c:v>786151720911368.75</c:v>
                </c:pt>
                <c:pt idx="17">
                  <c:v>739709787005948.12</c:v>
                </c:pt>
                <c:pt idx="18">
                  <c:v>697848533161954.37</c:v>
                </c:pt>
                <c:pt idx="19">
                  <c:v>659786239553203.25</c:v>
                </c:pt>
                <c:pt idx="20">
                  <c:v>625462486053596.62</c:v>
                </c:pt>
                <c:pt idx="21">
                  <c:v>593573725633900.25</c:v>
                </c:pt>
                <c:pt idx="22">
                  <c:v>564372110363502.37</c:v>
                </c:pt>
                <c:pt idx="23">
                  <c:v>537773305752357.06</c:v>
                </c:pt>
                <c:pt idx="24">
                  <c:v>512798857378768.37</c:v>
                </c:pt>
                <c:pt idx="25">
                  <c:v>489763165275339.5</c:v>
                </c:pt>
                <c:pt idx="26">
                  <c:v>468287834550130.12</c:v>
                </c:pt>
                <c:pt idx="27">
                  <c:v>448465127598598.94</c:v>
                </c:pt>
                <c:pt idx="28">
                  <c:v>430236329279206</c:v>
                </c:pt>
                <c:pt idx="29">
                  <c:v>412821013054100.37</c:v>
                </c:pt>
                <c:pt idx="30">
                  <c:v>396544866948250.06</c:v>
                </c:pt>
                <c:pt idx="31">
                  <c:v>381692649268363.37</c:v>
                </c:pt>
                <c:pt idx="32">
                  <c:v>366552502194570</c:v>
                </c:pt>
                <c:pt idx="33">
                  <c:v>353031513721201.19</c:v>
                </c:pt>
                <c:pt idx="34">
                  <c:v>340114642724112.87</c:v>
                </c:pt>
                <c:pt idx="35">
                  <c:v>328073110494273</c:v>
                </c:pt>
                <c:pt idx="36">
                  <c:v>316528246976444.25</c:v>
                </c:pt>
                <c:pt idx="37">
                  <c:v>305846888481691.44</c:v>
                </c:pt>
                <c:pt idx="38">
                  <c:v>295291744687327.87</c:v>
                </c:pt>
                <c:pt idx="39">
                  <c:v>285466686919810.87</c:v>
                </c:pt>
                <c:pt idx="40">
                  <c:v>276032084191849.72</c:v>
                </c:pt>
                <c:pt idx="41">
                  <c:v>267335531683775.34</c:v>
                </c:pt>
                <c:pt idx="42">
                  <c:v>258702236615495.5</c:v>
                </c:pt>
                <c:pt idx="43">
                  <c:v>250728553719988.62</c:v>
                </c:pt>
                <c:pt idx="44">
                  <c:v>242953869927931.78</c:v>
                </c:pt>
                <c:pt idx="45">
                  <c:v>235530969976970.41</c:v>
                </c:pt>
                <c:pt idx="46">
                  <c:v>228171893901418.09</c:v>
                </c:pt>
                <c:pt idx="47">
                  <c:v>221901687115068.94</c:v>
                </c:pt>
                <c:pt idx="48">
                  <c:v>214944234441233.69</c:v>
                </c:pt>
                <c:pt idx="49">
                  <c:v>208562171619336.12</c:v>
                </c:pt>
                <c:pt idx="50">
                  <c:v>202574742700260.56</c:v>
                </c:pt>
                <c:pt idx="51">
                  <c:v>196496808621178.62</c:v>
                </c:pt>
                <c:pt idx="52">
                  <c:v>191091136040074.66</c:v>
                </c:pt>
                <c:pt idx="53">
                  <c:v>185804232438349.72</c:v>
                </c:pt>
                <c:pt idx="54">
                  <c:v>180465127663875.91</c:v>
                </c:pt>
                <c:pt idx="55">
                  <c:v>175370324529450.56</c:v>
                </c:pt>
                <c:pt idx="56">
                  <c:v>170753089832222.47</c:v>
                </c:pt>
                <c:pt idx="57">
                  <c:v>166012840542481</c:v>
                </c:pt>
                <c:pt idx="58">
                  <c:v>161632918194772.56</c:v>
                </c:pt>
                <c:pt idx="59">
                  <c:v>157416091980848.34</c:v>
                </c:pt>
                <c:pt idx="60">
                  <c:v>153019561854072.06</c:v>
                </c:pt>
                <c:pt idx="61">
                  <c:v>149071431137973.34</c:v>
                </c:pt>
                <c:pt idx="62">
                  <c:v>145366374120225.19</c:v>
                </c:pt>
                <c:pt idx="63">
                  <c:v>141601901013340.94</c:v>
                </c:pt>
                <c:pt idx="64">
                  <c:v>137813605029549.28</c:v>
                </c:pt>
                <c:pt idx="65">
                  <c:v>134016296376736.59</c:v>
                </c:pt>
                <c:pt idx="66">
                  <c:v>130704221813503.11</c:v>
                </c:pt>
                <c:pt idx="67">
                  <c:v>127660445425586.72</c:v>
                </c:pt>
                <c:pt idx="68">
                  <c:v>124436122043031.61</c:v>
                </c:pt>
                <c:pt idx="69">
                  <c:v>120807931898835.5</c:v>
                </c:pt>
                <c:pt idx="70">
                  <c:v>117712427874941.75</c:v>
                </c:pt>
                <c:pt idx="71">
                  <c:v>114504423868256.11</c:v>
                </c:pt>
                <c:pt idx="72">
                  <c:v>112317512307562.3</c:v>
                </c:pt>
                <c:pt idx="73">
                  <c:v>108987790890595.67</c:v>
                </c:pt>
                <c:pt idx="74">
                  <c:v>106648664194525.61</c:v>
                </c:pt>
                <c:pt idx="75">
                  <c:v>103796594095219.69</c:v>
                </c:pt>
                <c:pt idx="76">
                  <c:v>101210254725216.62</c:v>
                </c:pt>
                <c:pt idx="77">
                  <c:v>98748350560028.266</c:v>
                </c:pt>
                <c:pt idx="78">
                  <c:v>96081887136411.797</c:v>
                </c:pt>
                <c:pt idx="79">
                  <c:v>93599022348844.547</c:v>
                </c:pt>
                <c:pt idx="80">
                  <c:v>91604507294039.844</c:v>
                </c:pt>
                <c:pt idx="81">
                  <c:v>89376313330632.094</c:v>
                </c:pt>
                <c:pt idx="82">
                  <c:v>87451410565290.719</c:v>
                </c:pt>
                <c:pt idx="83">
                  <c:v>84810346276012.109</c:v>
                </c:pt>
                <c:pt idx="84">
                  <c:v>83359572535953.625</c:v>
                </c:pt>
                <c:pt idx="85">
                  <c:v>80883191619116.844</c:v>
                </c:pt>
                <c:pt idx="86">
                  <c:v>78951349988999.906</c:v>
                </c:pt>
                <c:pt idx="87">
                  <c:v>77183813292876.031</c:v>
                </c:pt>
                <c:pt idx="88">
                  <c:v>75116740873343.734</c:v>
                </c:pt>
                <c:pt idx="89">
                  <c:v>73389591894293.625</c:v>
                </c:pt>
                <c:pt idx="90">
                  <c:v>71564751169433.766</c:v>
                </c:pt>
                <c:pt idx="91">
                  <c:v>69531682260262.195</c:v>
                </c:pt>
                <c:pt idx="92">
                  <c:v>68081582881623.953</c:v>
                </c:pt>
                <c:pt idx="93">
                  <c:v>66508015231014.773</c:v>
                </c:pt>
                <c:pt idx="94">
                  <c:v>64766891556477.25</c:v>
                </c:pt>
                <c:pt idx="95">
                  <c:v>63140815157364.703</c:v>
                </c:pt>
                <c:pt idx="96">
                  <c:v>62003766329231.469</c:v>
                </c:pt>
                <c:pt idx="97">
                  <c:v>59900306901934.414</c:v>
                </c:pt>
                <c:pt idx="98">
                  <c:v>58400438908927.195</c:v>
                </c:pt>
                <c:pt idx="99">
                  <c:v>56964659320106.031</c:v>
                </c:pt>
                <c:pt idx="100">
                  <c:v>55301798495264.992</c:v>
                </c:pt>
                <c:pt idx="101">
                  <c:v>53711828868263.25</c:v>
                </c:pt>
                <c:pt idx="102">
                  <c:v>53002041192920.461</c:v>
                </c:pt>
                <c:pt idx="103">
                  <c:v>51578706325034.008</c:v>
                </c:pt>
                <c:pt idx="104">
                  <c:v>50019201462181.344</c:v>
                </c:pt>
                <c:pt idx="105">
                  <c:v>48672927777406.078</c:v>
                </c:pt>
                <c:pt idx="106">
                  <c:v>47309861570684.289</c:v>
                </c:pt>
                <c:pt idx="107">
                  <c:v>46258890782152.875</c:v>
                </c:pt>
                <c:pt idx="108">
                  <c:v>45162105855172.148</c:v>
                </c:pt>
                <c:pt idx="109">
                  <c:v>44090302799726.109</c:v>
                </c:pt>
                <c:pt idx="110">
                  <c:v>42833386054942.562</c:v>
                </c:pt>
                <c:pt idx="111">
                  <c:v>41645325503096.164</c:v>
                </c:pt>
                <c:pt idx="112">
                  <c:v>40492249313408.805</c:v>
                </c:pt>
                <c:pt idx="113">
                  <c:v>39294418552390.102</c:v>
                </c:pt>
                <c:pt idx="114">
                  <c:v>38183152619784.141</c:v>
                </c:pt>
                <c:pt idx="115">
                  <c:v>37151904592632.289</c:v>
                </c:pt>
                <c:pt idx="116">
                  <c:v>35933396426451.336</c:v>
                </c:pt>
                <c:pt idx="117">
                  <c:v>34809587734469.852</c:v>
                </c:pt>
                <c:pt idx="118">
                  <c:v>34068251611930.18</c:v>
                </c:pt>
                <c:pt idx="119">
                  <c:v>33469018532997.34</c:v>
                </c:pt>
              </c:numCache>
            </c:numRef>
          </c:xVal>
          <c:yVal>
            <c:numRef>
              <c:f>Calc!$L$12:$L$131</c:f>
              <c:numCache>
                <c:formatCode>0.00E+00</c:formatCode>
                <c:ptCount val="120"/>
                <c:pt idx="0">
                  <c:v>2.8118963896018537E-4</c:v>
                </c:pt>
                <c:pt idx="1">
                  <c:v>3.4049519362930092E-4</c:v>
                </c:pt>
                <c:pt idx="2">
                  <c:v>4.3686640718206498E-4</c:v>
                </c:pt>
                <c:pt idx="3">
                  <c:v>5.325802572983539E-4</c:v>
                </c:pt>
                <c:pt idx="4">
                  <c:v>6.2474592186409776E-4</c:v>
                </c:pt>
                <c:pt idx="5">
                  <c:v>7.1328924928598951E-4</c:v>
                </c:pt>
                <c:pt idx="6">
                  <c:v>7.9998893528086042E-4</c:v>
                </c:pt>
                <c:pt idx="7">
                  <c:v>8.8570347699836903E-4</c:v>
                </c:pt>
                <c:pt idx="8">
                  <c:v>9.6976424664196848E-4</c:v>
                </c:pt>
                <c:pt idx="9">
                  <c:v>1.0522752484179449E-3</c:v>
                </c:pt>
                <c:pt idx="10">
                  <c:v>1.1348425383825257E-3</c:v>
                </c:pt>
                <c:pt idx="11">
                  <c:v>1.2153053535499834E-3</c:v>
                </c:pt>
                <c:pt idx="12">
                  <c:v>1.2951093351000998E-3</c:v>
                </c:pt>
                <c:pt idx="13">
                  <c:v>1.3718663039427065E-3</c:v>
                </c:pt>
                <c:pt idx="14">
                  <c:v>1.4466209811519206E-3</c:v>
                </c:pt>
                <c:pt idx="15">
                  <c:v>1.5207687623762357E-3</c:v>
                </c:pt>
                <c:pt idx="16">
                  <c:v>1.5935146223537808E-3</c:v>
                </c:pt>
                <c:pt idx="17">
                  <c:v>1.6661108480843915E-3</c:v>
                </c:pt>
                <c:pt idx="18">
                  <c:v>1.7389609404064024E-3</c:v>
                </c:pt>
                <c:pt idx="19">
                  <c:v>1.8093280066100344E-3</c:v>
                </c:pt>
                <c:pt idx="20">
                  <c:v>1.8773334867761679E-3</c:v>
                </c:pt>
                <c:pt idx="21">
                  <c:v>1.9454019203633741E-3</c:v>
                </c:pt>
                <c:pt idx="22">
                  <c:v>2.0075295179825428E-3</c:v>
                </c:pt>
                <c:pt idx="23">
                  <c:v>2.0747877281122773E-3</c:v>
                </c:pt>
                <c:pt idx="24">
                  <c:v>2.1350722367878879E-3</c:v>
                </c:pt>
                <c:pt idx="25">
                  <c:v>2.1949935824616173E-3</c:v>
                </c:pt>
                <c:pt idx="26">
                  <c:v>2.2685825784189624E-3</c:v>
                </c:pt>
                <c:pt idx="27">
                  <c:v>2.3365370342733056E-3</c:v>
                </c:pt>
                <c:pt idx="28">
                  <c:v>2.4018099134335133E-3</c:v>
                </c:pt>
                <c:pt idx="29">
                  <c:v>2.468487519307996E-3</c:v>
                </c:pt>
                <c:pt idx="30">
                  <c:v>2.5019232158931207E-3</c:v>
                </c:pt>
                <c:pt idx="31">
                  <c:v>2.5519099414631407E-3</c:v>
                </c:pt>
                <c:pt idx="32">
                  <c:v>2.5900819637970523E-3</c:v>
                </c:pt>
                <c:pt idx="33">
                  <c:v>2.6409306017535403E-3</c:v>
                </c:pt>
                <c:pt idx="34">
                  <c:v>2.7207666580787884E-3</c:v>
                </c:pt>
                <c:pt idx="35">
                  <c:v>2.7813260406693852E-3</c:v>
                </c:pt>
                <c:pt idx="36">
                  <c:v>2.8293781804551764E-3</c:v>
                </c:pt>
                <c:pt idx="37">
                  <c:v>2.8731682259806658E-3</c:v>
                </c:pt>
                <c:pt idx="38">
                  <c:v>2.9129366017040335E-3</c:v>
                </c:pt>
                <c:pt idx="39">
                  <c:v>2.9648904029836807E-3</c:v>
                </c:pt>
                <c:pt idx="40">
                  <c:v>3.0230157278317857E-3</c:v>
                </c:pt>
                <c:pt idx="41">
                  <c:v>3.0796855133693886E-3</c:v>
                </c:pt>
                <c:pt idx="42">
                  <c:v>3.1258045986988451E-3</c:v>
                </c:pt>
                <c:pt idx="43">
                  <c:v>3.1594819014605013E-3</c:v>
                </c:pt>
                <c:pt idx="44">
                  <c:v>3.1859347526310314E-3</c:v>
                </c:pt>
                <c:pt idx="45">
                  <c:v>3.2515864407214965E-3</c:v>
                </c:pt>
                <c:pt idx="46">
                  <c:v>3.2760463977614014E-3</c:v>
                </c:pt>
                <c:pt idx="47">
                  <c:v>3.3038165824217885E-3</c:v>
                </c:pt>
                <c:pt idx="48">
                  <c:v>3.3307224249587704E-3</c:v>
                </c:pt>
                <c:pt idx="49">
                  <c:v>3.3011182598063475E-3</c:v>
                </c:pt>
                <c:pt idx="50">
                  <c:v>3.3891493442111714E-3</c:v>
                </c:pt>
                <c:pt idx="51">
                  <c:v>3.4473435776619724E-3</c:v>
                </c:pt>
                <c:pt idx="52">
                  <c:v>3.4799644934388452E-3</c:v>
                </c:pt>
                <c:pt idx="53">
                  <c:v>3.513763777722452E-3</c:v>
                </c:pt>
                <c:pt idx="54">
                  <c:v>3.5309161909162197E-3</c:v>
                </c:pt>
                <c:pt idx="55">
                  <c:v>3.5575810755390908E-3</c:v>
                </c:pt>
                <c:pt idx="56">
                  <c:v>3.6313521829164108E-3</c:v>
                </c:pt>
                <c:pt idx="57">
                  <c:v>3.6868280405814823E-3</c:v>
                </c:pt>
                <c:pt idx="58">
                  <c:v>3.668156210365126E-3</c:v>
                </c:pt>
                <c:pt idx="59">
                  <c:v>3.7042414152865452E-3</c:v>
                </c:pt>
                <c:pt idx="60">
                  <c:v>3.7433460899261371E-3</c:v>
                </c:pt>
                <c:pt idx="61">
                  <c:v>3.7949458841544602E-3</c:v>
                </c:pt>
                <c:pt idx="62">
                  <c:v>3.8374032148487847E-3</c:v>
                </c:pt>
                <c:pt idx="63">
                  <c:v>3.7597046395482061E-3</c:v>
                </c:pt>
                <c:pt idx="64">
                  <c:v>3.7337833614253125E-3</c:v>
                </c:pt>
                <c:pt idx="65">
                  <c:v>3.8298802266901787E-3</c:v>
                </c:pt>
                <c:pt idx="66">
                  <c:v>3.9474780133869902E-3</c:v>
                </c:pt>
                <c:pt idx="67">
                  <c:v>3.9058012662298853E-3</c:v>
                </c:pt>
                <c:pt idx="68">
                  <c:v>3.7896131612125822E-3</c:v>
                </c:pt>
                <c:pt idx="69">
                  <c:v>3.6568862037146886E-3</c:v>
                </c:pt>
                <c:pt idx="70">
                  <c:v>3.8542771408798596E-3</c:v>
                </c:pt>
                <c:pt idx="71">
                  <c:v>3.9436419723869907E-3</c:v>
                </c:pt>
                <c:pt idx="72">
                  <c:v>4.0629742749381855E-3</c:v>
                </c:pt>
                <c:pt idx="73">
                  <c:v>4.0239901076414477E-3</c:v>
                </c:pt>
                <c:pt idx="74">
                  <c:v>3.8914757751932322E-3</c:v>
                </c:pt>
                <c:pt idx="75">
                  <c:v>4.0049169327812835E-3</c:v>
                </c:pt>
                <c:pt idx="76">
                  <c:v>3.8656724825665663E-3</c:v>
                </c:pt>
                <c:pt idx="77">
                  <c:v>3.8689171816721677E-3</c:v>
                </c:pt>
                <c:pt idx="78">
                  <c:v>3.9441149770010871E-3</c:v>
                </c:pt>
                <c:pt idx="79">
                  <c:v>4.0307131988779671E-3</c:v>
                </c:pt>
                <c:pt idx="80">
                  <c:v>4.2639149047250472E-3</c:v>
                </c:pt>
                <c:pt idx="81">
                  <c:v>4.1129529282695138E-3</c:v>
                </c:pt>
                <c:pt idx="82">
                  <c:v>4.1533097139725503E-3</c:v>
                </c:pt>
                <c:pt idx="83">
                  <c:v>4.0236274097178743E-3</c:v>
                </c:pt>
                <c:pt idx="84">
                  <c:v>3.9832978403335365E-3</c:v>
                </c:pt>
                <c:pt idx="85">
                  <c:v>4.1138296487896906E-3</c:v>
                </c:pt>
                <c:pt idx="86">
                  <c:v>3.9113790970694891E-3</c:v>
                </c:pt>
                <c:pt idx="87">
                  <c:v>4.100764972987868E-3</c:v>
                </c:pt>
                <c:pt idx="88">
                  <c:v>4.0456210268516226E-3</c:v>
                </c:pt>
                <c:pt idx="89">
                  <c:v>3.8920562152448416E-3</c:v>
                </c:pt>
                <c:pt idx="90">
                  <c:v>3.9917364214612583E-3</c:v>
                </c:pt>
                <c:pt idx="91">
                  <c:v>4.0316818748374079E-3</c:v>
                </c:pt>
                <c:pt idx="92">
                  <c:v>4.0965160708316848E-3</c:v>
                </c:pt>
                <c:pt idx="93">
                  <c:v>4.1318499627863523E-3</c:v>
                </c:pt>
                <c:pt idx="94">
                  <c:v>4.1723627904765494E-3</c:v>
                </c:pt>
                <c:pt idx="95">
                  <c:v>3.951450814987126E-3</c:v>
                </c:pt>
                <c:pt idx="96">
                  <c:v>3.8814618509660256E-3</c:v>
                </c:pt>
                <c:pt idx="97">
                  <c:v>3.7539617299657251E-3</c:v>
                </c:pt>
                <c:pt idx="98">
                  <c:v>3.5740361635658796E-3</c:v>
                </c:pt>
                <c:pt idx="99">
                  <c:v>3.6809346502428559E-3</c:v>
                </c:pt>
                <c:pt idx="100">
                  <c:v>3.936175877737042E-3</c:v>
                </c:pt>
                <c:pt idx="101">
                  <c:v>4.1090278770512653E-3</c:v>
                </c:pt>
                <c:pt idx="102">
                  <c:v>4.1739423282059138E-3</c:v>
                </c:pt>
                <c:pt idx="103">
                  <c:v>3.9491708501596147E-3</c:v>
                </c:pt>
                <c:pt idx="104">
                  <c:v>3.5002602626989766E-3</c:v>
                </c:pt>
                <c:pt idx="105">
                  <c:v>3.6461932429340768E-3</c:v>
                </c:pt>
                <c:pt idx="106">
                  <c:v>3.9008056868947813E-3</c:v>
                </c:pt>
                <c:pt idx="107">
                  <c:v>4.0890009364405204E-3</c:v>
                </c:pt>
                <c:pt idx="108">
                  <c:v>4.0607784407073336E-3</c:v>
                </c:pt>
                <c:pt idx="109">
                  <c:v>3.8154096351632103E-3</c:v>
                </c:pt>
                <c:pt idx="110">
                  <c:v>3.6346636757692411E-3</c:v>
                </c:pt>
                <c:pt idx="111">
                  <c:v>3.4899569449977309E-3</c:v>
                </c:pt>
                <c:pt idx="112">
                  <c:v>3.4753197292792656E-3</c:v>
                </c:pt>
                <c:pt idx="113">
                  <c:v>3.4786324750057359E-3</c:v>
                </c:pt>
                <c:pt idx="114">
                  <c:v>3.3909775761835786E-3</c:v>
                </c:pt>
                <c:pt idx="115">
                  <c:v>3.311393261068149E-3</c:v>
                </c:pt>
                <c:pt idx="116">
                  <c:v>3.3988831241070229E-3</c:v>
                </c:pt>
                <c:pt idx="117">
                  <c:v>3.7709783312039652E-3</c:v>
                </c:pt>
                <c:pt idx="118">
                  <c:v>3.7879767168748578E-3</c:v>
                </c:pt>
                <c:pt idx="119">
                  <c:v>3.6552974473216646E-3</c:v>
                </c:pt>
              </c:numCache>
            </c:numRef>
          </c:yVal>
          <c:smooth val="0"/>
        </c:ser>
        <c:ser>
          <c:idx val="1"/>
          <c:order val="1"/>
          <c:tx>
            <c:v>Apparent Carrier Density</c:v>
          </c:tx>
          <c:spPr>
            <a:ln w="28575">
              <a:noFill/>
            </a:ln>
          </c:spPr>
          <c:marker>
            <c:symbol val="x"/>
            <c:size val="6"/>
            <c:spPr>
              <a:noFill/>
              <a:ln w="12700">
                <a:solidFill>
                  <a:srgbClr val="2004EC"/>
                </a:solidFill>
              </a:ln>
            </c:spPr>
          </c:marker>
          <c:xVal>
            <c:numRef>
              <c:f>Calc!$G$12:$G$131</c:f>
              <c:numCache>
                <c:formatCode>0.00E+00</c:formatCode>
                <c:ptCount val="120"/>
                <c:pt idx="0">
                  <c:v>5531724802090750</c:v>
                </c:pt>
                <c:pt idx="1">
                  <c:v>4201502347315294.5</c:v>
                </c:pt>
                <c:pt idx="2">
                  <c:v>3365710797377079.5</c:v>
                </c:pt>
                <c:pt idx="3">
                  <c:v>2795907107476559</c:v>
                </c:pt>
                <c:pt idx="4">
                  <c:v>2382417130730062.5</c:v>
                </c:pt>
                <c:pt idx="5">
                  <c:v>2068279905856168</c:v>
                </c:pt>
                <c:pt idx="6">
                  <c:v>1822815568763083.2</c:v>
                </c:pt>
                <c:pt idx="7">
                  <c:v>1625889383606275</c:v>
                </c:pt>
                <c:pt idx="8">
                  <c:v>1464336904173964.5</c:v>
                </c:pt>
                <c:pt idx="9">
                  <c:v>1329667256177945</c:v>
                </c:pt>
                <c:pt idx="10">
                  <c:v>1215930297417172</c:v>
                </c:pt>
                <c:pt idx="11">
                  <c:v>1118286865182320.7</c:v>
                </c:pt>
                <c:pt idx="12">
                  <c:v>1034300663495785.6</c:v>
                </c:pt>
                <c:pt idx="13">
                  <c:v>960397345495608.25</c:v>
                </c:pt>
                <c:pt idx="14">
                  <c:v>895564884959189.62</c:v>
                </c:pt>
                <c:pt idx="15">
                  <c:v>837621612468979.5</c:v>
                </c:pt>
                <c:pt idx="16">
                  <c:v>786151720911368.75</c:v>
                </c:pt>
                <c:pt idx="17">
                  <c:v>739709787005948.12</c:v>
                </c:pt>
                <c:pt idx="18">
                  <c:v>697848533161954.37</c:v>
                </c:pt>
                <c:pt idx="19">
                  <c:v>659786239553203.25</c:v>
                </c:pt>
                <c:pt idx="20">
                  <c:v>625462486053596.62</c:v>
                </c:pt>
                <c:pt idx="21">
                  <c:v>593573725633900.25</c:v>
                </c:pt>
                <c:pt idx="22">
                  <c:v>564372110363502.37</c:v>
                </c:pt>
                <c:pt idx="23">
                  <c:v>537773305752357.06</c:v>
                </c:pt>
                <c:pt idx="24">
                  <c:v>512798857378768.37</c:v>
                </c:pt>
                <c:pt idx="25">
                  <c:v>489763165275339.5</c:v>
                </c:pt>
                <c:pt idx="26">
                  <c:v>468287834550130.12</c:v>
                </c:pt>
                <c:pt idx="27">
                  <c:v>448465127598598.94</c:v>
                </c:pt>
                <c:pt idx="28">
                  <c:v>430236329279206</c:v>
                </c:pt>
                <c:pt idx="29">
                  <c:v>412821013054100.37</c:v>
                </c:pt>
                <c:pt idx="30">
                  <c:v>396544866948250.06</c:v>
                </c:pt>
                <c:pt idx="31">
                  <c:v>381692649268363.37</c:v>
                </c:pt>
                <c:pt idx="32">
                  <c:v>366552502194570</c:v>
                </c:pt>
                <c:pt idx="33">
                  <c:v>353031513721201.19</c:v>
                </c:pt>
                <c:pt idx="34">
                  <c:v>340114642724112.87</c:v>
                </c:pt>
                <c:pt idx="35">
                  <c:v>328073110494273</c:v>
                </c:pt>
                <c:pt idx="36">
                  <c:v>316528246976444.25</c:v>
                </c:pt>
                <c:pt idx="37">
                  <c:v>305846888481691.44</c:v>
                </c:pt>
                <c:pt idx="38">
                  <c:v>295291744687327.87</c:v>
                </c:pt>
                <c:pt idx="39">
                  <c:v>285466686919810.87</c:v>
                </c:pt>
                <c:pt idx="40">
                  <c:v>276032084191849.72</c:v>
                </c:pt>
                <c:pt idx="41">
                  <c:v>267335531683775.34</c:v>
                </c:pt>
                <c:pt idx="42">
                  <c:v>258702236615495.5</c:v>
                </c:pt>
                <c:pt idx="43">
                  <c:v>250728553719988.62</c:v>
                </c:pt>
                <c:pt idx="44">
                  <c:v>242953869927931.78</c:v>
                </c:pt>
                <c:pt idx="45">
                  <c:v>235530969976970.41</c:v>
                </c:pt>
                <c:pt idx="46">
                  <c:v>228171893901418.09</c:v>
                </c:pt>
                <c:pt idx="47">
                  <c:v>221901687115068.94</c:v>
                </c:pt>
                <c:pt idx="48">
                  <c:v>214944234441233.69</c:v>
                </c:pt>
                <c:pt idx="49">
                  <c:v>208562171619336.12</c:v>
                </c:pt>
                <c:pt idx="50">
                  <c:v>202574742700260.56</c:v>
                </c:pt>
                <c:pt idx="51">
                  <c:v>196496808621178.62</c:v>
                </c:pt>
                <c:pt idx="52">
                  <c:v>191091136040074.66</c:v>
                </c:pt>
                <c:pt idx="53">
                  <c:v>185804232438349.72</c:v>
                </c:pt>
                <c:pt idx="54">
                  <c:v>180465127663875.91</c:v>
                </c:pt>
                <c:pt idx="55">
                  <c:v>175370324529450.56</c:v>
                </c:pt>
                <c:pt idx="56">
                  <c:v>170753089832222.47</c:v>
                </c:pt>
                <c:pt idx="57">
                  <c:v>166012840542481</c:v>
                </c:pt>
                <c:pt idx="58">
                  <c:v>161632918194772.56</c:v>
                </c:pt>
                <c:pt idx="59">
                  <c:v>157416091980848.34</c:v>
                </c:pt>
                <c:pt idx="60">
                  <c:v>153019561854072.06</c:v>
                </c:pt>
                <c:pt idx="61">
                  <c:v>149071431137973.34</c:v>
                </c:pt>
                <c:pt idx="62">
                  <c:v>145366374120225.19</c:v>
                </c:pt>
                <c:pt idx="63">
                  <c:v>141601901013340.94</c:v>
                </c:pt>
                <c:pt idx="64">
                  <c:v>137813605029549.28</c:v>
                </c:pt>
                <c:pt idx="65">
                  <c:v>134016296376736.59</c:v>
                </c:pt>
                <c:pt idx="66">
                  <c:v>130704221813503.11</c:v>
                </c:pt>
                <c:pt idx="67">
                  <c:v>127660445425586.72</c:v>
                </c:pt>
                <c:pt idx="68">
                  <c:v>124436122043031.61</c:v>
                </c:pt>
                <c:pt idx="69">
                  <c:v>120807931898835.5</c:v>
                </c:pt>
                <c:pt idx="70">
                  <c:v>117712427874941.75</c:v>
                </c:pt>
                <c:pt idx="71">
                  <c:v>114504423868256.11</c:v>
                </c:pt>
                <c:pt idx="72">
                  <c:v>112317512307562.3</c:v>
                </c:pt>
                <c:pt idx="73">
                  <c:v>108987790890595.67</c:v>
                </c:pt>
                <c:pt idx="74">
                  <c:v>106648664194525.61</c:v>
                </c:pt>
                <c:pt idx="75">
                  <c:v>103796594095219.69</c:v>
                </c:pt>
                <c:pt idx="76">
                  <c:v>101210254725216.62</c:v>
                </c:pt>
                <c:pt idx="77">
                  <c:v>98748350560028.266</c:v>
                </c:pt>
                <c:pt idx="78">
                  <c:v>96081887136411.797</c:v>
                </c:pt>
                <c:pt idx="79">
                  <c:v>93599022348844.547</c:v>
                </c:pt>
                <c:pt idx="80">
                  <c:v>91604507294039.844</c:v>
                </c:pt>
                <c:pt idx="81">
                  <c:v>89376313330632.094</c:v>
                </c:pt>
                <c:pt idx="82">
                  <c:v>87451410565290.719</c:v>
                </c:pt>
                <c:pt idx="83">
                  <c:v>84810346276012.109</c:v>
                </c:pt>
                <c:pt idx="84">
                  <c:v>83359572535953.625</c:v>
                </c:pt>
                <c:pt idx="85">
                  <c:v>80883191619116.844</c:v>
                </c:pt>
                <c:pt idx="86">
                  <c:v>78951349988999.906</c:v>
                </c:pt>
                <c:pt idx="87">
                  <c:v>77183813292876.031</c:v>
                </c:pt>
                <c:pt idx="88">
                  <c:v>75116740873343.734</c:v>
                </c:pt>
                <c:pt idx="89">
                  <c:v>73389591894293.625</c:v>
                </c:pt>
                <c:pt idx="90">
                  <c:v>71564751169433.766</c:v>
                </c:pt>
                <c:pt idx="91">
                  <c:v>69531682260262.195</c:v>
                </c:pt>
                <c:pt idx="92">
                  <c:v>68081582881623.953</c:v>
                </c:pt>
                <c:pt idx="93">
                  <c:v>66508015231014.773</c:v>
                </c:pt>
                <c:pt idx="94">
                  <c:v>64766891556477.25</c:v>
                </c:pt>
                <c:pt idx="95">
                  <c:v>63140815157364.703</c:v>
                </c:pt>
                <c:pt idx="96">
                  <c:v>62003766329231.469</c:v>
                </c:pt>
                <c:pt idx="97">
                  <c:v>59900306901934.414</c:v>
                </c:pt>
                <c:pt idx="98">
                  <c:v>58400438908927.195</c:v>
                </c:pt>
                <c:pt idx="99">
                  <c:v>56964659320106.031</c:v>
                </c:pt>
                <c:pt idx="100">
                  <c:v>55301798495264.992</c:v>
                </c:pt>
                <c:pt idx="101">
                  <c:v>53711828868263.25</c:v>
                </c:pt>
                <c:pt idx="102">
                  <c:v>53002041192920.461</c:v>
                </c:pt>
                <c:pt idx="103">
                  <c:v>51578706325034.008</c:v>
                </c:pt>
                <c:pt idx="104">
                  <c:v>50019201462181.344</c:v>
                </c:pt>
                <c:pt idx="105">
                  <c:v>48672927777406.078</c:v>
                </c:pt>
                <c:pt idx="106">
                  <c:v>47309861570684.289</c:v>
                </c:pt>
                <c:pt idx="107">
                  <c:v>46258890782152.875</c:v>
                </c:pt>
                <c:pt idx="108">
                  <c:v>45162105855172.148</c:v>
                </c:pt>
                <c:pt idx="109">
                  <c:v>44090302799726.109</c:v>
                </c:pt>
                <c:pt idx="110">
                  <c:v>42833386054942.562</c:v>
                </c:pt>
                <c:pt idx="111">
                  <c:v>41645325503096.164</c:v>
                </c:pt>
                <c:pt idx="112">
                  <c:v>40492249313408.805</c:v>
                </c:pt>
                <c:pt idx="113">
                  <c:v>39294418552390.102</c:v>
                </c:pt>
                <c:pt idx="114">
                  <c:v>38183152619784.141</c:v>
                </c:pt>
                <c:pt idx="115">
                  <c:v>37151904592632.289</c:v>
                </c:pt>
                <c:pt idx="116">
                  <c:v>35933396426451.336</c:v>
                </c:pt>
                <c:pt idx="117">
                  <c:v>34809587734469.852</c:v>
                </c:pt>
                <c:pt idx="118">
                  <c:v>34068251611930.18</c:v>
                </c:pt>
                <c:pt idx="119">
                  <c:v>33469018532997.34</c:v>
                </c:pt>
              </c:numCache>
            </c:numRef>
          </c:xVal>
          <c:yVal>
            <c:numRef>
              <c:f>Calc!$L$12:$L$131</c:f>
              <c:numCache>
                <c:formatCode>0.00E+00</c:formatCode>
                <c:ptCount val="120"/>
                <c:pt idx="0">
                  <c:v>2.8118963896018537E-4</c:v>
                </c:pt>
                <c:pt idx="1">
                  <c:v>3.4049519362930092E-4</c:v>
                </c:pt>
                <c:pt idx="2">
                  <c:v>4.3686640718206498E-4</c:v>
                </c:pt>
                <c:pt idx="3">
                  <c:v>5.325802572983539E-4</c:v>
                </c:pt>
                <c:pt idx="4">
                  <c:v>6.2474592186409776E-4</c:v>
                </c:pt>
                <c:pt idx="5">
                  <c:v>7.1328924928598951E-4</c:v>
                </c:pt>
                <c:pt idx="6">
                  <c:v>7.9998893528086042E-4</c:v>
                </c:pt>
                <c:pt idx="7">
                  <c:v>8.8570347699836903E-4</c:v>
                </c:pt>
                <c:pt idx="8">
                  <c:v>9.6976424664196848E-4</c:v>
                </c:pt>
                <c:pt idx="9">
                  <c:v>1.0522752484179449E-3</c:v>
                </c:pt>
                <c:pt idx="10">
                  <c:v>1.1348425383825257E-3</c:v>
                </c:pt>
                <c:pt idx="11">
                  <c:v>1.2153053535499834E-3</c:v>
                </c:pt>
                <c:pt idx="12">
                  <c:v>1.2951093351000998E-3</c:v>
                </c:pt>
                <c:pt idx="13">
                  <c:v>1.3718663039427065E-3</c:v>
                </c:pt>
                <c:pt idx="14">
                  <c:v>1.4466209811519206E-3</c:v>
                </c:pt>
                <c:pt idx="15">
                  <c:v>1.5207687623762357E-3</c:v>
                </c:pt>
                <c:pt idx="16">
                  <c:v>1.5935146223537808E-3</c:v>
                </c:pt>
                <c:pt idx="17">
                  <c:v>1.6661108480843915E-3</c:v>
                </c:pt>
                <c:pt idx="18">
                  <c:v>1.7389609404064024E-3</c:v>
                </c:pt>
                <c:pt idx="19">
                  <c:v>1.8093280066100344E-3</c:v>
                </c:pt>
                <c:pt idx="20">
                  <c:v>1.8773334867761679E-3</c:v>
                </c:pt>
                <c:pt idx="21">
                  <c:v>1.9454019203633741E-3</c:v>
                </c:pt>
                <c:pt idx="22">
                  <c:v>2.0075295179825428E-3</c:v>
                </c:pt>
                <c:pt idx="23">
                  <c:v>2.0747877281122773E-3</c:v>
                </c:pt>
                <c:pt idx="24">
                  <c:v>2.1350722367878879E-3</c:v>
                </c:pt>
                <c:pt idx="25">
                  <c:v>2.1949935824616173E-3</c:v>
                </c:pt>
                <c:pt idx="26">
                  <c:v>2.2685825784189624E-3</c:v>
                </c:pt>
                <c:pt idx="27">
                  <c:v>2.3365370342733056E-3</c:v>
                </c:pt>
                <c:pt idx="28">
                  <c:v>2.4018099134335133E-3</c:v>
                </c:pt>
                <c:pt idx="29">
                  <c:v>2.468487519307996E-3</c:v>
                </c:pt>
                <c:pt idx="30">
                  <c:v>2.5019232158931207E-3</c:v>
                </c:pt>
                <c:pt idx="31">
                  <c:v>2.5519099414631407E-3</c:v>
                </c:pt>
                <c:pt idx="32">
                  <c:v>2.5900819637970523E-3</c:v>
                </c:pt>
                <c:pt idx="33">
                  <c:v>2.6409306017535403E-3</c:v>
                </c:pt>
                <c:pt idx="34">
                  <c:v>2.7207666580787884E-3</c:v>
                </c:pt>
                <c:pt idx="35">
                  <c:v>2.7813260406693852E-3</c:v>
                </c:pt>
                <c:pt idx="36">
                  <c:v>2.8293781804551764E-3</c:v>
                </c:pt>
                <c:pt idx="37">
                  <c:v>2.8731682259806658E-3</c:v>
                </c:pt>
                <c:pt idx="38">
                  <c:v>2.9129366017040335E-3</c:v>
                </c:pt>
                <c:pt idx="39">
                  <c:v>2.9648904029836807E-3</c:v>
                </c:pt>
                <c:pt idx="40">
                  <c:v>3.0230157278317857E-3</c:v>
                </c:pt>
                <c:pt idx="41">
                  <c:v>3.0796855133693886E-3</c:v>
                </c:pt>
                <c:pt idx="42">
                  <c:v>3.1258045986988451E-3</c:v>
                </c:pt>
                <c:pt idx="43">
                  <c:v>3.1594819014605013E-3</c:v>
                </c:pt>
                <c:pt idx="44">
                  <c:v>3.1859347526310314E-3</c:v>
                </c:pt>
                <c:pt idx="45">
                  <c:v>3.2515864407214965E-3</c:v>
                </c:pt>
                <c:pt idx="46">
                  <c:v>3.2760463977614014E-3</c:v>
                </c:pt>
                <c:pt idx="47">
                  <c:v>3.3038165824217885E-3</c:v>
                </c:pt>
                <c:pt idx="48">
                  <c:v>3.3307224249587704E-3</c:v>
                </c:pt>
                <c:pt idx="49">
                  <c:v>3.3011182598063475E-3</c:v>
                </c:pt>
                <c:pt idx="50">
                  <c:v>3.3891493442111714E-3</c:v>
                </c:pt>
                <c:pt idx="51">
                  <c:v>3.4473435776619724E-3</c:v>
                </c:pt>
                <c:pt idx="52">
                  <c:v>3.4799644934388452E-3</c:v>
                </c:pt>
                <c:pt idx="53">
                  <c:v>3.513763777722452E-3</c:v>
                </c:pt>
                <c:pt idx="54">
                  <c:v>3.5309161909162197E-3</c:v>
                </c:pt>
                <c:pt idx="55">
                  <c:v>3.5575810755390908E-3</c:v>
                </c:pt>
                <c:pt idx="56">
                  <c:v>3.6313521829164108E-3</c:v>
                </c:pt>
                <c:pt idx="57">
                  <c:v>3.6868280405814823E-3</c:v>
                </c:pt>
                <c:pt idx="58">
                  <c:v>3.668156210365126E-3</c:v>
                </c:pt>
                <c:pt idx="59">
                  <c:v>3.7042414152865452E-3</c:v>
                </c:pt>
                <c:pt idx="60">
                  <c:v>3.7433460899261371E-3</c:v>
                </c:pt>
                <c:pt idx="61">
                  <c:v>3.7949458841544602E-3</c:v>
                </c:pt>
                <c:pt idx="62">
                  <c:v>3.8374032148487847E-3</c:v>
                </c:pt>
                <c:pt idx="63">
                  <c:v>3.7597046395482061E-3</c:v>
                </c:pt>
                <c:pt idx="64">
                  <c:v>3.7337833614253125E-3</c:v>
                </c:pt>
                <c:pt idx="65">
                  <c:v>3.8298802266901787E-3</c:v>
                </c:pt>
                <c:pt idx="66">
                  <c:v>3.9474780133869902E-3</c:v>
                </c:pt>
                <c:pt idx="67">
                  <c:v>3.9058012662298853E-3</c:v>
                </c:pt>
                <c:pt idx="68">
                  <c:v>3.7896131612125822E-3</c:v>
                </c:pt>
                <c:pt idx="69">
                  <c:v>3.6568862037146886E-3</c:v>
                </c:pt>
                <c:pt idx="70">
                  <c:v>3.8542771408798596E-3</c:v>
                </c:pt>
                <c:pt idx="71">
                  <c:v>3.9436419723869907E-3</c:v>
                </c:pt>
                <c:pt idx="72">
                  <c:v>4.0629742749381855E-3</c:v>
                </c:pt>
                <c:pt idx="73">
                  <c:v>4.0239901076414477E-3</c:v>
                </c:pt>
                <c:pt idx="74">
                  <c:v>3.8914757751932322E-3</c:v>
                </c:pt>
                <c:pt idx="75">
                  <c:v>4.0049169327812835E-3</c:v>
                </c:pt>
                <c:pt idx="76">
                  <c:v>3.8656724825665663E-3</c:v>
                </c:pt>
                <c:pt idx="77">
                  <c:v>3.8689171816721677E-3</c:v>
                </c:pt>
                <c:pt idx="78">
                  <c:v>3.9441149770010871E-3</c:v>
                </c:pt>
                <c:pt idx="79">
                  <c:v>4.0307131988779671E-3</c:v>
                </c:pt>
                <c:pt idx="80">
                  <c:v>4.2639149047250472E-3</c:v>
                </c:pt>
                <c:pt idx="81">
                  <c:v>4.1129529282695138E-3</c:v>
                </c:pt>
                <c:pt idx="82">
                  <c:v>4.1533097139725503E-3</c:v>
                </c:pt>
                <c:pt idx="83">
                  <c:v>4.0236274097178743E-3</c:v>
                </c:pt>
                <c:pt idx="84">
                  <c:v>3.9832978403335365E-3</c:v>
                </c:pt>
                <c:pt idx="85">
                  <c:v>4.1138296487896906E-3</c:v>
                </c:pt>
                <c:pt idx="86">
                  <c:v>3.9113790970694891E-3</c:v>
                </c:pt>
                <c:pt idx="87">
                  <c:v>4.100764972987868E-3</c:v>
                </c:pt>
                <c:pt idx="88">
                  <c:v>4.0456210268516226E-3</c:v>
                </c:pt>
                <c:pt idx="89">
                  <c:v>3.8920562152448416E-3</c:v>
                </c:pt>
                <c:pt idx="90">
                  <c:v>3.9917364214612583E-3</c:v>
                </c:pt>
                <c:pt idx="91">
                  <c:v>4.0316818748374079E-3</c:v>
                </c:pt>
                <c:pt idx="92">
                  <c:v>4.0965160708316848E-3</c:v>
                </c:pt>
                <c:pt idx="93">
                  <c:v>4.1318499627863523E-3</c:v>
                </c:pt>
                <c:pt idx="94">
                  <c:v>4.1723627904765494E-3</c:v>
                </c:pt>
                <c:pt idx="95">
                  <c:v>3.951450814987126E-3</c:v>
                </c:pt>
                <c:pt idx="96">
                  <c:v>3.8814618509660256E-3</c:v>
                </c:pt>
                <c:pt idx="97">
                  <c:v>3.7539617299657251E-3</c:v>
                </c:pt>
                <c:pt idx="98">
                  <c:v>3.5740361635658796E-3</c:v>
                </c:pt>
                <c:pt idx="99">
                  <c:v>3.6809346502428559E-3</c:v>
                </c:pt>
                <c:pt idx="100">
                  <c:v>3.936175877737042E-3</c:v>
                </c:pt>
                <c:pt idx="101">
                  <c:v>4.1090278770512653E-3</c:v>
                </c:pt>
                <c:pt idx="102">
                  <c:v>4.1739423282059138E-3</c:v>
                </c:pt>
                <c:pt idx="103">
                  <c:v>3.9491708501596147E-3</c:v>
                </c:pt>
                <c:pt idx="104">
                  <c:v>3.5002602626989766E-3</c:v>
                </c:pt>
                <c:pt idx="105">
                  <c:v>3.6461932429340768E-3</c:v>
                </c:pt>
                <c:pt idx="106">
                  <c:v>3.9008056868947813E-3</c:v>
                </c:pt>
                <c:pt idx="107">
                  <c:v>4.0890009364405204E-3</c:v>
                </c:pt>
                <c:pt idx="108">
                  <c:v>4.0607784407073336E-3</c:v>
                </c:pt>
                <c:pt idx="109">
                  <c:v>3.8154096351632103E-3</c:v>
                </c:pt>
                <c:pt idx="110">
                  <c:v>3.6346636757692411E-3</c:v>
                </c:pt>
                <c:pt idx="111">
                  <c:v>3.4899569449977309E-3</c:v>
                </c:pt>
                <c:pt idx="112">
                  <c:v>3.4753197292792656E-3</c:v>
                </c:pt>
                <c:pt idx="113">
                  <c:v>3.4786324750057359E-3</c:v>
                </c:pt>
                <c:pt idx="114">
                  <c:v>3.3909775761835786E-3</c:v>
                </c:pt>
                <c:pt idx="115">
                  <c:v>3.311393261068149E-3</c:v>
                </c:pt>
                <c:pt idx="116">
                  <c:v>3.3988831241070229E-3</c:v>
                </c:pt>
                <c:pt idx="117">
                  <c:v>3.7709783312039652E-3</c:v>
                </c:pt>
                <c:pt idx="118">
                  <c:v>3.7879767168748578E-3</c:v>
                </c:pt>
                <c:pt idx="119">
                  <c:v>3.6552974473216646E-3</c:v>
                </c:pt>
              </c:numCache>
            </c:numRef>
          </c:yVal>
          <c:smooth val="0"/>
        </c:ser>
        <c:ser>
          <c:idx val="2"/>
          <c:order val="2"/>
          <c:tx>
            <c:v>Specified Carrier Density</c:v>
          </c:tx>
          <c:spPr>
            <a:ln w="28575">
              <a:noFill/>
            </a:ln>
          </c:spPr>
          <c:marker>
            <c:symbol val="diamond"/>
            <c:size val="16"/>
            <c:spPr>
              <a:solidFill>
                <a:srgbClr val="FF0000"/>
              </a:solidFill>
              <a:ln>
                <a:solidFill>
                  <a:srgbClr val="FF0000"/>
                </a:solidFill>
              </a:ln>
            </c:spPr>
          </c:marker>
          <c:xVal>
            <c:numRef>
              <c:f>Calc!$S$6</c:f>
              <c:numCache>
                <c:formatCode>0.00E+00</c:formatCode>
                <c:ptCount val="1"/>
                <c:pt idx="0">
                  <c:v>1000000000000000</c:v>
                </c:pt>
              </c:numCache>
            </c:numRef>
          </c:xVal>
          <c:yVal>
            <c:numRef>
              <c:f>Calc!$M$6</c:f>
              <c:numCache>
                <c:formatCode>0.00E+00</c:formatCode>
                <c:ptCount val="1"/>
                <c:pt idx="0">
                  <c:v>1.3279461994135909E-3</c:v>
                </c:pt>
              </c:numCache>
            </c:numRef>
          </c:yVal>
          <c:smooth val="0"/>
        </c:ser>
        <c:dLbls>
          <c:showLegendKey val="0"/>
          <c:showVal val="0"/>
          <c:showCatName val="0"/>
          <c:showSerName val="0"/>
          <c:showPercent val="0"/>
          <c:showBubbleSize val="0"/>
        </c:dLbls>
        <c:axId val="118562816"/>
        <c:axId val="118563392"/>
      </c:scatterChart>
      <c:valAx>
        <c:axId val="118562816"/>
        <c:scaling>
          <c:logBase val="10"/>
          <c:orientation val="minMax"/>
          <c:min val="10000000000000"/>
        </c:scaling>
        <c:delete val="0"/>
        <c:axPos val="b"/>
        <c:majorGridlines/>
        <c:title>
          <c:tx>
            <c:rich>
              <a:bodyPr/>
              <a:lstStyle/>
              <a:p>
                <a:pPr>
                  <a:defRPr sz="1200">
                    <a:latin typeface="Arial" pitchFamily="34" charset="0"/>
                    <a:cs typeface="Arial" pitchFamily="34" charset="0"/>
                  </a:defRPr>
                </a:pPr>
                <a:r>
                  <a:rPr lang="en-US" sz="1200">
                    <a:latin typeface="Arial" pitchFamily="34" charset="0"/>
                    <a:cs typeface="Arial" pitchFamily="34" charset="0"/>
                  </a:rPr>
                  <a:t>Minority Carrier Density (cm</a:t>
                </a:r>
                <a:r>
                  <a:rPr lang="en-US" sz="1200" baseline="30000">
                    <a:latin typeface="Arial" pitchFamily="34" charset="0"/>
                    <a:cs typeface="Arial" pitchFamily="34" charset="0"/>
                  </a:rPr>
                  <a:t>-3</a:t>
                </a:r>
                <a:r>
                  <a:rPr lang="en-US" sz="1200">
                    <a:latin typeface="Arial" pitchFamily="34" charset="0"/>
                    <a:cs typeface="Arial" pitchFamily="34" charset="0"/>
                  </a:rPr>
                  <a:t>)</a:t>
                </a:r>
              </a:p>
            </c:rich>
          </c:tx>
          <c:layout/>
          <c:overlay val="0"/>
        </c:title>
        <c:numFmt formatCode="0.00E+00" sourceLinked="1"/>
        <c:majorTickMark val="out"/>
        <c:minorTickMark val="none"/>
        <c:tickLblPos val="nextTo"/>
        <c:txPr>
          <a:bodyPr/>
          <a:lstStyle/>
          <a:p>
            <a:pPr>
              <a:defRPr sz="1000" b="1" baseline="0">
                <a:latin typeface="Arial" pitchFamily="34" charset="0"/>
                <a:cs typeface="Arial" pitchFamily="34" charset="0"/>
              </a:defRPr>
            </a:pPr>
            <a:endParaRPr lang="en-US"/>
          </a:p>
        </c:txPr>
        <c:crossAx val="118563392"/>
        <c:crosses val="autoZero"/>
        <c:crossBetween val="midCat"/>
      </c:valAx>
      <c:valAx>
        <c:axId val="118563392"/>
        <c:scaling>
          <c:orientation val="minMax"/>
          <c:max val="5.3117847976543635E-3"/>
          <c:min val="0"/>
        </c:scaling>
        <c:delete val="0"/>
        <c:axPos val="l"/>
        <c:majorGridlines/>
        <c:title>
          <c:tx>
            <c:rich>
              <a:bodyPr rot="-5400000" vert="horz"/>
              <a:lstStyle/>
              <a:p>
                <a:pPr>
                  <a:defRPr sz="1200" baseline="0">
                    <a:solidFill>
                      <a:sysClr val="windowText" lastClr="000000"/>
                    </a:solidFill>
                    <a:latin typeface="Arial" pitchFamily="34" charset="0"/>
                    <a:cs typeface="Arial" pitchFamily="34" charset="0"/>
                  </a:defRPr>
                </a:pPr>
                <a:r>
                  <a:rPr lang="en-US" sz="1200" baseline="0">
                    <a:solidFill>
                      <a:sysClr val="windowText" lastClr="000000"/>
                    </a:solidFill>
                    <a:latin typeface="Arial" pitchFamily="34" charset="0"/>
                    <a:cs typeface="Arial" pitchFamily="34" charset="0"/>
                  </a:rPr>
                  <a:t>Minority Carrier Lifetime (seconds)</a:t>
                </a:r>
              </a:p>
            </c:rich>
          </c:tx>
          <c:layout>
            <c:manualLayout>
              <c:xMode val="edge"/>
              <c:yMode val="edge"/>
              <c:x val="3.809008183417531E-2"/>
              <c:y val="0.22275468985195845"/>
            </c:manualLayout>
          </c:layout>
          <c:overlay val="0"/>
        </c:title>
        <c:numFmt formatCode="0.00E+00" sourceLinked="0"/>
        <c:majorTickMark val="out"/>
        <c:minorTickMark val="none"/>
        <c:tickLblPos val="nextTo"/>
        <c:spPr>
          <a:ln>
            <a:noFill/>
          </a:ln>
        </c:spPr>
        <c:txPr>
          <a:bodyPr/>
          <a:lstStyle/>
          <a:p>
            <a:pPr>
              <a:defRPr sz="1000" b="1" baseline="0">
                <a:solidFill>
                  <a:sysClr val="windowText" lastClr="000000"/>
                </a:solidFill>
                <a:latin typeface="Arial" pitchFamily="34" charset="0"/>
                <a:cs typeface="Arial" pitchFamily="34" charset="0"/>
              </a:defRPr>
            </a:pPr>
            <a:endParaRPr lang="en-US"/>
          </a:p>
        </c:txPr>
        <c:crossAx val="118562816"/>
        <c:crosses val="autoZero"/>
        <c:crossBetween val="midCat"/>
      </c:valAx>
      <c:spPr>
        <a:ln>
          <a:solidFill>
            <a:sysClr val="windowText" lastClr="000000"/>
          </a:solidFill>
        </a:ln>
      </c:spPr>
    </c:plotArea>
    <c:legend>
      <c:legendPos val="r"/>
      <c:layout>
        <c:manualLayout>
          <c:xMode val="edge"/>
          <c:yMode val="edge"/>
          <c:x val="0.60299169485392046"/>
          <c:y val="0.16120144595143626"/>
          <c:w val="0.27959762005095484"/>
          <c:h val="0.1706503353103502"/>
        </c:manualLayout>
      </c:layout>
      <c:overlay val="1"/>
      <c:spPr>
        <a:solidFill>
          <a:schemeClr val="bg1"/>
        </a:solidFill>
        <a:ln>
          <a:solidFill>
            <a:schemeClr val="tx1"/>
          </a:solidFill>
        </a:ln>
      </c:spPr>
    </c:legend>
    <c:plotVisOnly val="1"/>
    <c:dispBlanksAs val="gap"/>
    <c:showDLblsOverMax val="0"/>
  </c:chart>
  <c:printSettings>
    <c:headerFooter/>
    <c:pageMargins b="0.75000000000001033" l="0.70000000000000062" r="0.70000000000000062" t="0.7500000000000103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Raw Voltages</a:t>
            </a:r>
          </a:p>
        </c:rich>
      </c:tx>
      <c:layout>
        <c:manualLayout>
          <c:xMode val="edge"/>
          <c:yMode val="edge"/>
          <c:x val="0.38567596869611082"/>
          <c:y val="4.1811846689895356E-2"/>
        </c:manualLayout>
      </c:layout>
      <c:overlay val="0"/>
      <c:spPr>
        <a:noFill/>
        <a:ln w="25400">
          <a:noFill/>
        </a:ln>
      </c:spPr>
    </c:title>
    <c:autoTitleDeleted val="0"/>
    <c:plotArea>
      <c:layout>
        <c:manualLayout>
          <c:layoutTarget val="inner"/>
          <c:xMode val="edge"/>
          <c:yMode val="edge"/>
          <c:x val="0.19008315600022599"/>
          <c:y val="0.13937282229964618"/>
          <c:w val="0.64187500504425365"/>
          <c:h val="0.63414634146341464"/>
        </c:manualLayout>
      </c:layout>
      <c:scatterChart>
        <c:scatterStyle val="smoothMarker"/>
        <c:varyColors val="0"/>
        <c:ser>
          <c:idx val="1"/>
          <c:order val="1"/>
          <c:tx>
            <c:v>Light voltage</c:v>
          </c:tx>
          <c:spPr>
            <a:ln w="25400">
              <a:solidFill>
                <a:srgbClr val="0000FF"/>
              </a:solidFill>
              <a:prstDash val="solid"/>
            </a:ln>
          </c:spPr>
          <c:marker>
            <c:symbol val="none"/>
          </c:marker>
          <c:xVal>
            <c:numRef>
              <c:f>Calc!$A$9:$A$133</c:f>
              <c:numCache>
                <c:formatCode>0.00E+00</c:formatCode>
                <c:ptCount val="125"/>
                <c:pt idx="0">
                  <c:v>4.9920000000000003E-5</c:v>
                </c:pt>
                <c:pt idx="1">
                  <c:v>1.4992E-4</c:v>
                </c:pt>
                <c:pt idx="2">
                  <c:v>2.4991999999999999E-4</c:v>
                </c:pt>
                <c:pt idx="3">
                  <c:v>3.4991999999999998E-4</c:v>
                </c:pt>
                <c:pt idx="4">
                  <c:v>4.4991999999999997E-4</c:v>
                </c:pt>
                <c:pt idx="5">
                  <c:v>5.4991999999999997E-4</c:v>
                </c:pt>
                <c:pt idx="6">
                  <c:v>6.4992000000000001E-4</c:v>
                </c:pt>
                <c:pt idx="7">
                  <c:v>7.4991999999999995E-4</c:v>
                </c:pt>
                <c:pt idx="8">
                  <c:v>8.4991999999999999E-4</c:v>
                </c:pt>
                <c:pt idx="9">
                  <c:v>9.4992000000000004E-4</c:v>
                </c:pt>
                <c:pt idx="10">
                  <c:v>1.04992E-3</c:v>
                </c:pt>
                <c:pt idx="11">
                  <c:v>1.14992E-3</c:v>
                </c:pt>
                <c:pt idx="12">
                  <c:v>1.2499200000000001E-3</c:v>
                </c:pt>
                <c:pt idx="13">
                  <c:v>1.3499199999999999E-3</c:v>
                </c:pt>
                <c:pt idx="14">
                  <c:v>1.4499199999999999E-3</c:v>
                </c:pt>
                <c:pt idx="15">
                  <c:v>1.54992E-3</c:v>
                </c:pt>
                <c:pt idx="16">
                  <c:v>1.64992E-3</c:v>
                </c:pt>
                <c:pt idx="17">
                  <c:v>1.7499200000000001E-3</c:v>
                </c:pt>
                <c:pt idx="18">
                  <c:v>1.8499199999999999E-3</c:v>
                </c:pt>
                <c:pt idx="19">
                  <c:v>1.94992E-3</c:v>
                </c:pt>
                <c:pt idx="20">
                  <c:v>2.0499200000000002E-3</c:v>
                </c:pt>
                <c:pt idx="21">
                  <c:v>2.14992E-3</c:v>
                </c:pt>
                <c:pt idx="22">
                  <c:v>2.2499199999999999E-3</c:v>
                </c:pt>
                <c:pt idx="23">
                  <c:v>2.3499200000000001E-3</c:v>
                </c:pt>
                <c:pt idx="24">
                  <c:v>2.44992E-3</c:v>
                </c:pt>
                <c:pt idx="25">
                  <c:v>2.5499199999999998E-3</c:v>
                </c:pt>
                <c:pt idx="26">
                  <c:v>2.6499200000000001E-3</c:v>
                </c:pt>
                <c:pt idx="27">
                  <c:v>2.7499199999999999E-3</c:v>
                </c:pt>
                <c:pt idx="28">
                  <c:v>2.8499200000000001E-3</c:v>
                </c:pt>
                <c:pt idx="29">
                  <c:v>2.94992E-3</c:v>
                </c:pt>
                <c:pt idx="30">
                  <c:v>3.0499199999999998E-3</c:v>
                </c:pt>
                <c:pt idx="31">
                  <c:v>3.1499200000000001E-3</c:v>
                </c:pt>
                <c:pt idx="32">
                  <c:v>3.2499199999999999E-3</c:v>
                </c:pt>
                <c:pt idx="33">
                  <c:v>3.3499200000000002E-3</c:v>
                </c:pt>
                <c:pt idx="34">
                  <c:v>3.44992E-3</c:v>
                </c:pt>
                <c:pt idx="35">
                  <c:v>3.5499199999999998E-3</c:v>
                </c:pt>
                <c:pt idx="36">
                  <c:v>3.6499200000000001E-3</c:v>
                </c:pt>
                <c:pt idx="37">
                  <c:v>3.7499199999999999E-3</c:v>
                </c:pt>
                <c:pt idx="38">
                  <c:v>3.8499200000000002E-3</c:v>
                </c:pt>
                <c:pt idx="39">
                  <c:v>3.94992E-3</c:v>
                </c:pt>
                <c:pt idx="40">
                  <c:v>4.0499200000000003E-3</c:v>
                </c:pt>
                <c:pt idx="41">
                  <c:v>4.1499199999999997E-3</c:v>
                </c:pt>
                <c:pt idx="42">
                  <c:v>4.2499199999999999E-3</c:v>
                </c:pt>
                <c:pt idx="43">
                  <c:v>4.3499200000000002E-3</c:v>
                </c:pt>
                <c:pt idx="44">
                  <c:v>4.4499199999999996E-3</c:v>
                </c:pt>
                <c:pt idx="45">
                  <c:v>4.5499199999999998E-3</c:v>
                </c:pt>
                <c:pt idx="46">
                  <c:v>4.6499200000000001E-3</c:v>
                </c:pt>
                <c:pt idx="47">
                  <c:v>4.7499200000000004E-3</c:v>
                </c:pt>
                <c:pt idx="48">
                  <c:v>4.8499199999999998E-3</c:v>
                </c:pt>
                <c:pt idx="49">
                  <c:v>4.94992E-3</c:v>
                </c:pt>
                <c:pt idx="50">
                  <c:v>5.0499200000000003E-3</c:v>
                </c:pt>
                <c:pt idx="51">
                  <c:v>5.1499199999999997E-3</c:v>
                </c:pt>
                <c:pt idx="52">
                  <c:v>5.2499199999999999E-3</c:v>
                </c:pt>
                <c:pt idx="53">
                  <c:v>5.3499200000000002E-3</c:v>
                </c:pt>
                <c:pt idx="54">
                  <c:v>5.4499199999999996E-3</c:v>
                </c:pt>
                <c:pt idx="55">
                  <c:v>5.5499199999999999E-3</c:v>
                </c:pt>
                <c:pt idx="56">
                  <c:v>5.6499200000000001E-3</c:v>
                </c:pt>
                <c:pt idx="57">
                  <c:v>5.7499200000000004E-3</c:v>
                </c:pt>
                <c:pt idx="58">
                  <c:v>5.8499199999999998E-3</c:v>
                </c:pt>
                <c:pt idx="59">
                  <c:v>5.94992E-3</c:v>
                </c:pt>
                <c:pt idx="60">
                  <c:v>6.0499200000000003E-3</c:v>
                </c:pt>
                <c:pt idx="61">
                  <c:v>6.1499199999999997E-3</c:v>
                </c:pt>
                <c:pt idx="62">
                  <c:v>6.24992E-3</c:v>
                </c:pt>
                <c:pt idx="63">
                  <c:v>6.3499200000000002E-3</c:v>
                </c:pt>
                <c:pt idx="64">
                  <c:v>6.4499199999999996E-3</c:v>
                </c:pt>
                <c:pt idx="65">
                  <c:v>6.5499199999999999E-3</c:v>
                </c:pt>
                <c:pt idx="66">
                  <c:v>6.6499200000000001E-3</c:v>
                </c:pt>
                <c:pt idx="67">
                  <c:v>6.7499200000000004E-3</c:v>
                </c:pt>
                <c:pt idx="68">
                  <c:v>6.8499199999999998E-3</c:v>
                </c:pt>
                <c:pt idx="69">
                  <c:v>6.9499200000000001E-3</c:v>
                </c:pt>
                <c:pt idx="70">
                  <c:v>7.0499200000000003E-3</c:v>
                </c:pt>
                <c:pt idx="71">
                  <c:v>7.1499199999999997E-3</c:v>
                </c:pt>
                <c:pt idx="72">
                  <c:v>7.24992E-3</c:v>
                </c:pt>
                <c:pt idx="73">
                  <c:v>7.3499200000000002E-3</c:v>
                </c:pt>
                <c:pt idx="74">
                  <c:v>7.4499199999999996E-3</c:v>
                </c:pt>
                <c:pt idx="75">
                  <c:v>7.5499199999999999E-3</c:v>
                </c:pt>
                <c:pt idx="76">
                  <c:v>7.6499200000000002E-3</c:v>
                </c:pt>
                <c:pt idx="77">
                  <c:v>7.7499200000000004E-3</c:v>
                </c:pt>
                <c:pt idx="78">
                  <c:v>7.8499199999999998E-3</c:v>
                </c:pt>
                <c:pt idx="79">
                  <c:v>7.9499199999999992E-3</c:v>
                </c:pt>
                <c:pt idx="80">
                  <c:v>8.0499200000000003E-3</c:v>
                </c:pt>
                <c:pt idx="81">
                  <c:v>8.1499199999999997E-3</c:v>
                </c:pt>
                <c:pt idx="82">
                  <c:v>8.2499200000000009E-3</c:v>
                </c:pt>
                <c:pt idx="83">
                  <c:v>8.3499200000000003E-3</c:v>
                </c:pt>
                <c:pt idx="84">
                  <c:v>8.4499199999999997E-3</c:v>
                </c:pt>
                <c:pt idx="85">
                  <c:v>8.5499200000000008E-3</c:v>
                </c:pt>
                <c:pt idx="86">
                  <c:v>8.6499200000000002E-3</c:v>
                </c:pt>
                <c:pt idx="87">
                  <c:v>8.7499199999999996E-3</c:v>
                </c:pt>
                <c:pt idx="88">
                  <c:v>8.8499200000000007E-3</c:v>
                </c:pt>
                <c:pt idx="89">
                  <c:v>8.9499200000000001E-3</c:v>
                </c:pt>
                <c:pt idx="90">
                  <c:v>9.0499199999999995E-3</c:v>
                </c:pt>
                <c:pt idx="91">
                  <c:v>9.1499200000000006E-3</c:v>
                </c:pt>
                <c:pt idx="92">
                  <c:v>9.24992E-3</c:v>
                </c:pt>
                <c:pt idx="93">
                  <c:v>9.3499199999999994E-3</c:v>
                </c:pt>
                <c:pt idx="94">
                  <c:v>9.4499200000000005E-3</c:v>
                </c:pt>
                <c:pt idx="95">
                  <c:v>9.5499199999999999E-3</c:v>
                </c:pt>
                <c:pt idx="96">
                  <c:v>9.6499199999999993E-3</c:v>
                </c:pt>
                <c:pt idx="97">
                  <c:v>9.7499200000000005E-3</c:v>
                </c:pt>
                <c:pt idx="98">
                  <c:v>9.8499199999999999E-3</c:v>
                </c:pt>
                <c:pt idx="99">
                  <c:v>9.9499199999999993E-3</c:v>
                </c:pt>
                <c:pt idx="100">
                  <c:v>1.00499E-2</c:v>
                </c:pt>
                <c:pt idx="101">
                  <c:v>1.01499E-2</c:v>
                </c:pt>
                <c:pt idx="102">
                  <c:v>1.0249899999999999E-2</c:v>
                </c:pt>
                <c:pt idx="103">
                  <c:v>1.03499E-2</c:v>
                </c:pt>
                <c:pt idx="104">
                  <c:v>1.04499E-2</c:v>
                </c:pt>
                <c:pt idx="105">
                  <c:v>1.0549899999999999E-2</c:v>
                </c:pt>
                <c:pt idx="106">
                  <c:v>1.06499E-2</c:v>
                </c:pt>
                <c:pt idx="107">
                  <c:v>1.07499E-2</c:v>
                </c:pt>
                <c:pt idx="108">
                  <c:v>1.0849900000000001E-2</c:v>
                </c:pt>
                <c:pt idx="109">
                  <c:v>1.09499E-2</c:v>
                </c:pt>
                <c:pt idx="110">
                  <c:v>1.10499E-2</c:v>
                </c:pt>
                <c:pt idx="111">
                  <c:v>1.1149900000000001E-2</c:v>
                </c:pt>
                <c:pt idx="112">
                  <c:v>1.12499E-2</c:v>
                </c:pt>
                <c:pt idx="113">
                  <c:v>1.13499E-2</c:v>
                </c:pt>
                <c:pt idx="114">
                  <c:v>1.1449900000000001E-2</c:v>
                </c:pt>
                <c:pt idx="115">
                  <c:v>1.15499E-2</c:v>
                </c:pt>
                <c:pt idx="116">
                  <c:v>1.1649899999999999E-2</c:v>
                </c:pt>
                <c:pt idx="117">
                  <c:v>1.1749900000000001E-2</c:v>
                </c:pt>
                <c:pt idx="118">
                  <c:v>1.18499E-2</c:v>
                </c:pt>
                <c:pt idx="119">
                  <c:v>1.1949899999999999E-2</c:v>
                </c:pt>
                <c:pt idx="120">
                  <c:v>1.2049900000000001E-2</c:v>
                </c:pt>
                <c:pt idx="121">
                  <c:v>1.21499E-2</c:v>
                </c:pt>
                <c:pt idx="122">
                  <c:v>1.2249899999999999E-2</c:v>
                </c:pt>
                <c:pt idx="123">
                  <c:v>1.23499E-2</c:v>
                </c:pt>
                <c:pt idx="124">
                  <c:v>1.24499E-2</c:v>
                </c:pt>
              </c:numCache>
            </c:numRef>
          </c:xVal>
          <c:yVal>
            <c:numRef>
              <c:f>Calc!$C$9:$C$133</c:f>
              <c:numCache>
                <c:formatCode>0.0000</c:formatCode>
                <c:ptCount val="125"/>
                <c:pt idx="0">
                  <c:v>0.16661899999999999</c:v>
                </c:pt>
                <c:pt idx="1">
                  <c:v>0.103786</c:v>
                </c:pt>
                <c:pt idx="2">
                  <c:v>3.26393E-3</c:v>
                </c:pt>
                <c:pt idx="3">
                  <c:v>-4.60153E-5</c:v>
                </c:pt>
                <c:pt idx="4">
                  <c:v>1.66661E-4</c:v>
                </c:pt>
                <c:pt idx="5">
                  <c:v>6.3359699999999996E-5</c:v>
                </c:pt>
                <c:pt idx="6">
                  <c:v>3.5957400000000002E-5</c:v>
                </c:pt>
                <c:pt idx="7">
                  <c:v>1.9453499999999999E-5</c:v>
                </c:pt>
                <c:pt idx="8">
                  <c:v>5.93787E-6</c:v>
                </c:pt>
                <c:pt idx="9">
                  <c:v>-7.6135199999999997E-7</c:v>
                </c:pt>
                <c:pt idx="10">
                  <c:v>5.8630400000000001E-7</c:v>
                </c:pt>
                <c:pt idx="11">
                  <c:v>4.8441199999999996E-6</c:v>
                </c:pt>
                <c:pt idx="12">
                  <c:v>-5.8199500000000001E-6</c:v>
                </c:pt>
                <c:pt idx="13">
                  <c:v>-1.5230700000000001E-6</c:v>
                </c:pt>
                <c:pt idx="14">
                  <c:v>-8.59338E-6</c:v>
                </c:pt>
                <c:pt idx="15">
                  <c:v>-2.1871300000000002E-6</c:v>
                </c:pt>
                <c:pt idx="16">
                  <c:v>-3.8277599999999998E-6</c:v>
                </c:pt>
                <c:pt idx="17">
                  <c:v>-1.24215E-5</c:v>
                </c:pt>
                <c:pt idx="18">
                  <c:v>1.17554E-7</c:v>
                </c:pt>
                <c:pt idx="19">
                  <c:v>-1.5273100000000001E-5</c:v>
                </c:pt>
                <c:pt idx="20">
                  <c:v>-2.0429300000000001E-5</c:v>
                </c:pt>
                <c:pt idx="21">
                  <c:v>-2.05074E-5</c:v>
                </c:pt>
                <c:pt idx="22">
                  <c:v>-2.0683199999999999E-5</c:v>
                </c:pt>
                <c:pt idx="23">
                  <c:v>-1.5312099999999999E-5</c:v>
                </c:pt>
                <c:pt idx="24">
                  <c:v>-1.46481E-5</c:v>
                </c:pt>
                <c:pt idx="25">
                  <c:v>-6.2105699999999999E-6</c:v>
                </c:pt>
                <c:pt idx="26">
                  <c:v>-1.32776E-6</c:v>
                </c:pt>
                <c:pt idx="27">
                  <c:v>-5.4650799999999999E-7</c:v>
                </c:pt>
                <c:pt idx="28">
                  <c:v>1.0664400000000001E-5</c:v>
                </c:pt>
                <c:pt idx="29">
                  <c:v>9.0042700000000008E-6</c:v>
                </c:pt>
                <c:pt idx="30">
                  <c:v>9.1409900000000004E-6</c:v>
                </c:pt>
                <c:pt idx="31">
                  <c:v>1.1562900000000001E-5</c:v>
                </c:pt>
                <c:pt idx="32">
                  <c:v>4.0042700000000004E-6</c:v>
                </c:pt>
                <c:pt idx="33">
                  <c:v>1.21488E-5</c:v>
                </c:pt>
                <c:pt idx="34">
                  <c:v>1.43949E-5</c:v>
                </c:pt>
                <c:pt idx="35">
                  <c:v>5.3909899999999999E-6</c:v>
                </c:pt>
                <c:pt idx="36">
                  <c:v>1.6934000000000001E-5</c:v>
                </c:pt>
                <c:pt idx="37">
                  <c:v>1.16801E-5</c:v>
                </c:pt>
                <c:pt idx="38">
                  <c:v>7.6761499999999993E-6</c:v>
                </c:pt>
                <c:pt idx="39">
                  <c:v>1.0937900000000001E-5</c:v>
                </c:pt>
                <c:pt idx="40">
                  <c:v>5.6644299999999999E-6</c:v>
                </c:pt>
                <c:pt idx="41">
                  <c:v>3.69177E-6</c:v>
                </c:pt>
                <c:pt idx="42">
                  <c:v>1.00785E-5</c:v>
                </c:pt>
                <c:pt idx="43">
                  <c:v>1.47269E-5</c:v>
                </c:pt>
                <c:pt idx="44">
                  <c:v>1.0371500000000001E-5</c:v>
                </c:pt>
                <c:pt idx="45">
                  <c:v>1.0664400000000001E-5</c:v>
                </c:pt>
                <c:pt idx="46">
                  <c:v>7.6956800000000002E-6</c:v>
                </c:pt>
                <c:pt idx="47">
                  <c:v>5.0980199999999999E-6</c:v>
                </c:pt>
                <c:pt idx="48">
                  <c:v>4.0238000000000003E-6</c:v>
                </c:pt>
                <c:pt idx="49">
                  <c:v>8.7503699999999997E-6</c:v>
                </c:pt>
                <c:pt idx="50">
                  <c:v>8.0277100000000001E-6</c:v>
                </c:pt>
                <c:pt idx="51">
                  <c:v>4.43396E-6</c:v>
                </c:pt>
                <c:pt idx="52">
                  <c:v>9.6292700000000007E-6</c:v>
                </c:pt>
                <c:pt idx="53">
                  <c:v>6.6800499999999997E-6</c:v>
                </c:pt>
                <c:pt idx="54">
                  <c:v>5.1566199999999996E-6</c:v>
                </c:pt>
                <c:pt idx="55">
                  <c:v>1.07035E-5</c:v>
                </c:pt>
                <c:pt idx="56">
                  <c:v>5.4724200000000002E-7</c:v>
                </c:pt>
                <c:pt idx="57">
                  <c:v>-1.6793200000000001E-6</c:v>
                </c:pt>
                <c:pt idx="58">
                  <c:v>-1.3105099999999999E-5</c:v>
                </c:pt>
                <c:pt idx="59">
                  <c:v>-6.3668200000000003E-6</c:v>
                </c:pt>
                <c:pt idx="60">
                  <c:v>1.46521E-6</c:v>
                </c:pt>
                <c:pt idx="61">
                  <c:v>-9.4136999999999993E-6</c:v>
                </c:pt>
                <c:pt idx="62">
                  <c:v>-6.5035399999999999E-6</c:v>
                </c:pt>
                <c:pt idx="63">
                  <c:v>-6.8322699999999998E-7</c:v>
                </c:pt>
                <c:pt idx="64">
                  <c:v>1.6269900000000002E-5</c:v>
                </c:pt>
                <c:pt idx="65">
                  <c:v>2.1191799999999999E-5</c:v>
                </c:pt>
                <c:pt idx="66">
                  <c:v>1.2598E-5</c:v>
                </c:pt>
                <c:pt idx="67">
                  <c:v>9.6487999999999998E-6</c:v>
                </c:pt>
                <c:pt idx="68">
                  <c:v>1.6152699999999999E-5</c:v>
                </c:pt>
                <c:pt idx="69">
                  <c:v>1.39261E-5</c:v>
                </c:pt>
                <c:pt idx="70">
                  <c:v>1.17386E-5</c:v>
                </c:pt>
                <c:pt idx="71">
                  <c:v>1.1699600000000001E-5</c:v>
                </c:pt>
                <c:pt idx="72">
                  <c:v>1.2187900000000001E-5</c:v>
                </c:pt>
                <c:pt idx="73">
                  <c:v>1.44535E-5</c:v>
                </c:pt>
                <c:pt idx="74">
                  <c:v>1.4433999999999999E-5</c:v>
                </c:pt>
                <c:pt idx="75">
                  <c:v>8.7308400000000006E-6</c:v>
                </c:pt>
                <c:pt idx="76">
                  <c:v>3.1286699999999999E-7</c:v>
                </c:pt>
                <c:pt idx="77">
                  <c:v>-1.7206699999999999E-5</c:v>
                </c:pt>
                <c:pt idx="78">
                  <c:v>-1.9179300000000001E-5</c:v>
                </c:pt>
                <c:pt idx="79">
                  <c:v>-1.4296499999999999E-5</c:v>
                </c:pt>
                <c:pt idx="80">
                  <c:v>-1.8964500000000001E-5</c:v>
                </c:pt>
                <c:pt idx="81">
                  <c:v>-2.6171499999999998E-5</c:v>
                </c:pt>
                <c:pt idx="82">
                  <c:v>-1.6484E-5</c:v>
                </c:pt>
                <c:pt idx="83">
                  <c:v>1.0312900000000001E-5</c:v>
                </c:pt>
                <c:pt idx="84">
                  <c:v>1.8516E-5</c:v>
                </c:pt>
                <c:pt idx="85">
                  <c:v>1.7148800000000001E-5</c:v>
                </c:pt>
                <c:pt idx="86">
                  <c:v>2.0918299999999999E-5</c:v>
                </c:pt>
                <c:pt idx="87">
                  <c:v>1.7285499999999999E-5</c:v>
                </c:pt>
                <c:pt idx="88">
                  <c:v>7.9886500000000002E-6</c:v>
                </c:pt>
                <c:pt idx="89">
                  <c:v>1.6601900000000001E-5</c:v>
                </c:pt>
                <c:pt idx="90">
                  <c:v>1.80277E-5</c:v>
                </c:pt>
                <c:pt idx="91">
                  <c:v>1.50394E-5</c:v>
                </c:pt>
                <c:pt idx="92">
                  <c:v>1.49027E-5</c:v>
                </c:pt>
                <c:pt idx="93">
                  <c:v>1.24418E-5</c:v>
                </c:pt>
                <c:pt idx="94">
                  <c:v>5.1175499999999998E-6</c:v>
                </c:pt>
                <c:pt idx="95">
                  <c:v>7.5589599999999997E-6</c:v>
                </c:pt>
                <c:pt idx="96">
                  <c:v>3.9652099999999996E-6</c:v>
                </c:pt>
                <c:pt idx="97">
                  <c:v>1.4219100000000001E-5</c:v>
                </c:pt>
                <c:pt idx="98">
                  <c:v>1.47465E-5</c:v>
                </c:pt>
                <c:pt idx="99">
                  <c:v>1.7949599999999998E-5</c:v>
                </c:pt>
                <c:pt idx="100">
                  <c:v>1.7558999999999999E-5</c:v>
                </c:pt>
                <c:pt idx="101">
                  <c:v>8.0081799999999993E-6</c:v>
                </c:pt>
                <c:pt idx="102">
                  <c:v>1.08597E-5</c:v>
                </c:pt>
                <c:pt idx="103">
                  <c:v>-3.4761999999999999E-6</c:v>
                </c:pt>
                <c:pt idx="104">
                  <c:v>-1.1347300000000001E-5</c:v>
                </c:pt>
                <c:pt idx="105">
                  <c:v>-1.6152000000000001E-5</c:v>
                </c:pt>
                <c:pt idx="106">
                  <c:v>-1.82223E-5</c:v>
                </c:pt>
                <c:pt idx="107">
                  <c:v>-1.54489E-5</c:v>
                </c:pt>
                <c:pt idx="108">
                  <c:v>-3.1562100000000001E-5</c:v>
                </c:pt>
                <c:pt idx="109">
                  <c:v>-5.0582299999999997E-6</c:v>
                </c:pt>
                <c:pt idx="110">
                  <c:v>-7.5191599999999997E-6</c:v>
                </c:pt>
                <c:pt idx="111">
                  <c:v>3.0081800000000001E-6</c:v>
                </c:pt>
                <c:pt idx="112">
                  <c:v>3.4378700000000002E-6</c:v>
                </c:pt>
                <c:pt idx="113">
                  <c:v>-3.4176000000000001E-6</c:v>
                </c:pt>
                <c:pt idx="114">
                  <c:v>7.5980199999999996E-6</c:v>
                </c:pt>
                <c:pt idx="115">
                  <c:v>-3.90258E-7</c:v>
                </c:pt>
                <c:pt idx="116">
                  <c:v>-6.15198E-6</c:v>
                </c:pt>
                <c:pt idx="117">
                  <c:v>-1.99606E-5</c:v>
                </c:pt>
                <c:pt idx="118">
                  <c:v>-3.5780900000000002E-5</c:v>
                </c:pt>
                <c:pt idx="119">
                  <c:v>-3.8808199999999999E-5</c:v>
                </c:pt>
                <c:pt idx="120">
                  <c:v>-3.4941000000000003E-5</c:v>
                </c:pt>
                <c:pt idx="121">
                  <c:v>-3.6015300000000001E-5</c:v>
                </c:pt>
                <c:pt idx="122">
                  <c:v>-5.4296499999999998E-5</c:v>
                </c:pt>
                <c:pt idx="123">
                  <c:v>-2.9550400000000001E-5</c:v>
                </c:pt>
                <c:pt idx="124">
                  <c:v>-2.45114E-5</c:v>
                </c:pt>
              </c:numCache>
            </c:numRef>
          </c:yVal>
          <c:smooth val="0"/>
        </c:ser>
        <c:ser>
          <c:idx val="3"/>
          <c:order val="3"/>
          <c:tx>
            <c:v>Ref_Upper</c:v>
          </c:tx>
          <c:spPr>
            <a:ln w="25400">
              <a:solidFill>
                <a:srgbClr val="0000FF"/>
              </a:solidFill>
              <a:prstDash val="sysDash"/>
            </a:ln>
          </c:spPr>
          <c:marker>
            <c:symbol val="none"/>
          </c:marker>
          <c:xVal>
            <c:numRef>
              <c:f>Command!$B$17:$B$18</c:f>
              <c:numCache>
                <c:formatCode>0.00E+00</c:formatCode>
                <c:ptCount val="2"/>
                <c:pt idx="0" formatCode="General">
                  <c:v>0</c:v>
                </c:pt>
                <c:pt idx="1">
                  <c:v>1.24499E-2</c:v>
                </c:pt>
              </c:numCache>
            </c:numRef>
          </c:xVal>
          <c:yVal>
            <c:numRef>
              <c:f>Command!$E$17:$E$18</c:f>
              <c:numCache>
                <c:formatCode>General</c:formatCode>
                <c:ptCount val="2"/>
                <c:pt idx="0">
                  <c:v>0.2</c:v>
                </c:pt>
                <c:pt idx="1">
                  <c:v>0.2</c:v>
                </c:pt>
              </c:numCache>
            </c:numRef>
          </c:yVal>
          <c:smooth val="0"/>
        </c:ser>
        <c:ser>
          <c:idx val="5"/>
          <c:order val="5"/>
          <c:tx>
            <c:v>Ref_Lower</c:v>
          </c:tx>
          <c:spPr>
            <a:ln w="25400">
              <a:solidFill>
                <a:srgbClr val="0000FF"/>
              </a:solidFill>
              <a:prstDash val="sysDash"/>
            </a:ln>
          </c:spPr>
          <c:marker>
            <c:symbol val="none"/>
          </c:marker>
          <c:xVal>
            <c:numRef>
              <c:f>Command!$B$17:$B$18</c:f>
              <c:numCache>
                <c:formatCode>0.00E+00</c:formatCode>
                <c:ptCount val="2"/>
                <c:pt idx="0" formatCode="General">
                  <c:v>0</c:v>
                </c:pt>
                <c:pt idx="1">
                  <c:v>1.24499E-2</c:v>
                </c:pt>
              </c:numCache>
            </c:numRef>
          </c:xVal>
          <c:yVal>
            <c:numRef>
              <c:f>Command!$F$17:$F$18</c:f>
              <c:numCache>
                <c:formatCode>General</c:formatCode>
                <c:ptCount val="2"/>
                <c:pt idx="0">
                  <c:v>8.0000000000000016E-2</c:v>
                </c:pt>
                <c:pt idx="1">
                  <c:v>8.0000000000000016E-2</c:v>
                </c:pt>
              </c:numCache>
            </c:numRef>
          </c:yVal>
          <c:smooth val="1"/>
        </c:ser>
        <c:dLbls>
          <c:showLegendKey val="0"/>
          <c:showVal val="0"/>
          <c:showCatName val="0"/>
          <c:showSerName val="0"/>
          <c:showPercent val="0"/>
          <c:showBubbleSize val="0"/>
        </c:dLbls>
        <c:axId val="118565696"/>
        <c:axId val="118566272"/>
      </c:scatterChart>
      <c:scatterChart>
        <c:scatterStyle val="lineMarker"/>
        <c:varyColors val="0"/>
        <c:ser>
          <c:idx val="0"/>
          <c:order val="0"/>
          <c:tx>
            <c:strRef>
              <c:f>Calc!$B$8</c:f>
              <c:strCache>
                <c:ptCount val="1"/>
                <c:pt idx="0">
                  <c:v>Photovoltage</c:v>
                </c:pt>
              </c:strCache>
            </c:strRef>
          </c:tx>
          <c:spPr>
            <a:ln w="25400">
              <a:solidFill>
                <a:srgbClr val="FF0000"/>
              </a:solidFill>
              <a:prstDash val="solid"/>
            </a:ln>
          </c:spPr>
          <c:marker>
            <c:symbol val="none"/>
          </c:marker>
          <c:xVal>
            <c:numRef>
              <c:f>Calc!$A$9:$A$133</c:f>
              <c:numCache>
                <c:formatCode>0.00E+00</c:formatCode>
                <c:ptCount val="125"/>
                <c:pt idx="0">
                  <c:v>4.9920000000000003E-5</c:v>
                </c:pt>
                <c:pt idx="1">
                  <c:v>1.4992E-4</c:v>
                </c:pt>
                <c:pt idx="2">
                  <c:v>2.4991999999999999E-4</c:v>
                </c:pt>
                <c:pt idx="3">
                  <c:v>3.4991999999999998E-4</c:v>
                </c:pt>
                <c:pt idx="4">
                  <c:v>4.4991999999999997E-4</c:v>
                </c:pt>
                <c:pt idx="5">
                  <c:v>5.4991999999999997E-4</c:v>
                </c:pt>
                <c:pt idx="6">
                  <c:v>6.4992000000000001E-4</c:v>
                </c:pt>
                <c:pt idx="7">
                  <c:v>7.4991999999999995E-4</c:v>
                </c:pt>
                <c:pt idx="8">
                  <c:v>8.4991999999999999E-4</c:v>
                </c:pt>
                <c:pt idx="9">
                  <c:v>9.4992000000000004E-4</c:v>
                </c:pt>
                <c:pt idx="10">
                  <c:v>1.04992E-3</c:v>
                </c:pt>
                <c:pt idx="11">
                  <c:v>1.14992E-3</c:v>
                </c:pt>
                <c:pt idx="12">
                  <c:v>1.2499200000000001E-3</c:v>
                </c:pt>
                <c:pt idx="13">
                  <c:v>1.3499199999999999E-3</c:v>
                </c:pt>
                <c:pt idx="14">
                  <c:v>1.4499199999999999E-3</c:v>
                </c:pt>
                <c:pt idx="15">
                  <c:v>1.54992E-3</c:v>
                </c:pt>
                <c:pt idx="16">
                  <c:v>1.64992E-3</c:v>
                </c:pt>
                <c:pt idx="17">
                  <c:v>1.7499200000000001E-3</c:v>
                </c:pt>
                <c:pt idx="18">
                  <c:v>1.8499199999999999E-3</c:v>
                </c:pt>
                <c:pt idx="19">
                  <c:v>1.94992E-3</c:v>
                </c:pt>
                <c:pt idx="20">
                  <c:v>2.0499200000000002E-3</c:v>
                </c:pt>
                <c:pt idx="21">
                  <c:v>2.14992E-3</c:v>
                </c:pt>
                <c:pt idx="22">
                  <c:v>2.2499199999999999E-3</c:v>
                </c:pt>
                <c:pt idx="23">
                  <c:v>2.3499200000000001E-3</c:v>
                </c:pt>
                <c:pt idx="24">
                  <c:v>2.44992E-3</c:v>
                </c:pt>
                <c:pt idx="25">
                  <c:v>2.5499199999999998E-3</c:v>
                </c:pt>
                <c:pt idx="26">
                  <c:v>2.6499200000000001E-3</c:v>
                </c:pt>
                <c:pt idx="27">
                  <c:v>2.7499199999999999E-3</c:v>
                </c:pt>
                <c:pt idx="28">
                  <c:v>2.8499200000000001E-3</c:v>
                </c:pt>
                <c:pt idx="29">
                  <c:v>2.94992E-3</c:v>
                </c:pt>
                <c:pt idx="30">
                  <c:v>3.0499199999999998E-3</c:v>
                </c:pt>
                <c:pt idx="31">
                  <c:v>3.1499200000000001E-3</c:v>
                </c:pt>
                <c:pt idx="32">
                  <c:v>3.2499199999999999E-3</c:v>
                </c:pt>
                <c:pt idx="33">
                  <c:v>3.3499200000000002E-3</c:v>
                </c:pt>
                <c:pt idx="34">
                  <c:v>3.44992E-3</c:v>
                </c:pt>
                <c:pt idx="35">
                  <c:v>3.5499199999999998E-3</c:v>
                </c:pt>
                <c:pt idx="36">
                  <c:v>3.6499200000000001E-3</c:v>
                </c:pt>
                <c:pt idx="37">
                  <c:v>3.7499199999999999E-3</c:v>
                </c:pt>
                <c:pt idx="38">
                  <c:v>3.8499200000000002E-3</c:v>
                </c:pt>
                <c:pt idx="39">
                  <c:v>3.94992E-3</c:v>
                </c:pt>
                <c:pt idx="40">
                  <c:v>4.0499200000000003E-3</c:v>
                </c:pt>
                <c:pt idx="41">
                  <c:v>4.1499199999999997E-3</c:v>
                </c:pt>
                <c:pt idx="42">
                  <c:v>4.2499199999999999E-3</c:v>
                </c:pt>
                <c:pt idx="43">
                  <c:v>4.3499200000000002E-3</c:v>
                </c:pt>
                <c:pt idx="44">
                  <c:v>4.4499199999999996E-3</c:v>
                </c:pt>
                <c:pt idx="45">
                  <c:v>4.5499199999999998E-3</c:v>
                </c:pt>
                <c:pt idx="46">
                  <c:v>4.6499200000000001E-3</c:v>
                </c:pt>
                <c:pt idx="47">
                  <c:v>4.7499200000000004E-3</c:v>
                </c:pt>
                <c:pt idx="48">
                  <c:v>4.8499199999999998E-3</c:v>
                </c:pt>
                <c:pt idx="49">
                  <c:v>4.94992E-3</c:v>
                </c:pt>
                <c:pt idx="50">
                  <c:v>5.0499200000000003E-3</c:v>
                </c:pt>
                <c:pt idx="51">
                  <c:v>5.1499199999999997E-3</c:v>
                </c:pt>
                <c:pt idx="52">
                  <c:v>5.2499199999999999E-3</c:v>
                </c:pt>
                <c:pt idx="53">
                  <c:v>5.3499200000000002E-3</c:v>
                </c:pt>
                <c:pt idx="54">
                  <c:v>5.4499199999999996E-3</c:v>
                </c:pt>
                <c:pt idx="55">
                  <c:v>5.5499199999999999E-3</c:v>
                </c:pt>
                <c:pt idx="56">
                  <c:v>5.6499200000000001E-3</c:v>
                </c:pt>
                <c:pt idx="57">
                  <c:v>5.7499200000000004E-3</c:v>
                </c:pt>
                <c:pt idx="58">
                  <c:v>5.8499199999999998E-3</c:v>
                </c:pt>
                <c:pt idx="59">
                  <c:v>5.94992E-3</c:v>
                </c:pt>
                <c:pt idx="60">
                  <c:v>6.0499200000000003E-3</c:v>
                </c:pt>
                <c:pt idx="61">
                  <c:v>6.1499199999999997E-3</c:v>
                </c:pt>
                <c:pt idx="62">
                  <c:v>6.24992E-3</c:v>
                </c:pt>
                <c:pt idx="63">
                  <c:v>6.3499200000000002E-3</c:v>
                </c:pt>
                <c:pt idx="64">
                  <c:v>6.4499199999999996E-3</c:v>
                </c:pt>
                <c:pt idx="65">
                  <c:v>6.5499199999999999E-3</c:v>
                </c:pt>
                <c:pt idx="66">
                  <c:v>6.6499200000000001E-3</c:v>
                </c:pt>
                <c:pt idx="67">
                  <c:v>6.7499200000000004E-3</c:v>
                </c:pt>
                <c:pt idx="68">
                  <c:v>6.8499199999999998E-3</c:v>
                </c:pt>
                <c:pt idx="69">
                  <c:v>6.9499200000000001E-3</c:v>
                </c:pt>
                <c:pt idx="70">
                  <c:v>7.0499200000000003E-3</c:v>
                </c:pt>
                <c:pt idx="71">
                  <c:v>7.1499199999999997E-3</c:v>
                </c:pt>
                <c:pt idx="72">
                  <c:v>7.24992E-3</c:v>
                </c:pt>
                <c:pt idx="73">
                  <c:v>7.3499200000000002E-3</c:v>
                </c:pt>
                <c:pt idx="74">
                  <c:v>7.4499199999999996E-3</c:v>
                </c:pt>
                <c:pt idx="75">
                  <c:v>7.5499199999999999E-3</c:v>
                </c:pt>
                <c:pt idx="76">
                  <c:v>7.6499200000000002E-3</c:v>
                </c:pt>
                <c:pt idx="77">
                  <c:v>7.7499200000000004E-3</c:v>
                </c:pt>
                <c:pt idx="78">
                  <c:v>7.8499199999999998E-3</c:v>
                </c:pt>
                <c:pt idx="79">
                  <c:v>7.9499199999999992E-3</c:v>
                </c:pt>
                <c:pt idx="80">
                  <c:v>8.0499200000000003E-3</c:v>
                </c:pt>
                <c:pt idx="81">
                  <c:v>8.1499199999999997E-3</c:v>
                </c:pt>
                <c:pt idx="82">
                  <c:v>8.2499200000000009E-3</c:v>
                </c:pt>
                <c:pt idx="83">
                  <c:v>8.3499200000000003E-3</c:v>
                </c:pt>
                <c:pt idx="84">
                  <c:v>8.4499199999999997E-3</c:v>
                </c:pt>
                <c:pt idx="85">
                  <c:v>8.5499200000000008E-3</c:v>
                </c:pt>
                <c:pt idx="86">
                  <c:v>8.6499200000000002E-3</c:v>
                </c:pt>
                <c:pt idx="87">
                  <c:v>8.7499199999999996E-3</c:v>
                </c:pt>
                <c:pt idx="88">
                  <c:v>8.8499200000000007E-3</c:v>
                </c:pt>
                <c:pt idx="89">
                  <c:v>8.9499200000000001E-3</c:v>
                </c:pt>
                <c:pt idx="90">
                  <c:v>9.0499199999999995E-3</c:v>
                </c:pt>
                <c:pt idx="91">
                  <c:v>9.1499200000000006E-3</c:v>
                </c:pt>
                <c:pt idx="92">
                  <c:v>9.24992E-3</c:v>
                </c:pt>
                <c:pt idx="93">
                  <c:v>9.3499199999999994E-3</c:v>
                </c:pt>
                <c:pt idx="94">
                  <c:v>9.4499200000000005E-3</c:v>
                </c:pt>
                <c:pt idx="95">
                  <c:v>9.5499199999999999E-3</c:v>
                </c:pt>
                <c:pt idx="96">
                  <c:v>9.6499199999999993E-3</c:v>
                </c:pt>
                <c:pt idx="97">
                  <c:v>9.7499200000000005E-3</c:v>
                </c:pt>
                <c:pt idx="98">
                  <c:v>9.8499199999999999E-3</c:v>
                </c:pt>
                <c:pt idx="99">
                  <c:v>9.9499199999999993E-3</c:v>
                </c:pt>
                <c:pt idx="100">
                  <c:v>1.00499E-2</c:v>
                </c:pt>
                <c:pt idx="101">
                  <c:v>1.01499E-2</c:v>
                </c:pt>
                <c:pt idx="102">
                  <c:v>1.0249899999999999E-2</c:v>
                </c:pt>
                <c:pt idx="103">
                  <c:v>1.03499E-2</c:v>
                </c:pt>
                <c:pt idx="104">
                  <c:v>1.04499E-2</c:v>
                </c:pt>
                <c:pt idx="105">
                  <c:v>1.0549899999999999E-2</c:v>
                </c:pt>
                <c:pt idx="106">
                  <c:v>1.06499E-2</c:v>
                </c:pt>
                <c:pt idx="107">
                  <c:v>1.07499E-2</c:v>
                </c:pt>
                <c:pt idx="108">
                  <c:v>1.0849900000000001E-2</c:v>
                </c:pt>
                <c:pt idx="109">
                  <c:v>1.09499E-2</c:v>
                </c:pt>
                <c:pt idx="110">
                  <c:v>1.10499E-2</c:v>
                </c:pt>
                <c:pt idx="111">
                  <c:v>1.1149900000000001E-2</c:v>
                </c:pt>
                <c:pt idx="112">
                  <c:v>1.12499E-2</c:v>
                </c:pt>
                <c:pt idx="113">
                  <c:v>1.13499E-2</c:v>
                </c:pt>
                <c:pt idx="114">
                  <c:v>1.1449900000000001E-2</c:v>
                </c:pt>
                <c:pt idx="115">
                  <c:v>1.15499E-2</c:v>
                </c:pt>
                <c:pt idx="116">
                  <c:v>1.1649899999999999E-2</c:v>
                </c:pt>
                <c:pt idx="117">
                  <c:v>1.1749900000000001E-2</c:v>
                </c:pt>
                <c:pt idx="118">
                  <c:v>1.18499E-2</c:v>
                </c:pt>
                <c:pt idx="119">
                  <c:v>1.1949899999999999E-2</c:v>
                </c:pt>
                <c:pt idx="120">
                  <c:v>1.2049900000000001E-2</c:v>
                </c:pt>
                <c:pt idx="121">
                  <c:v>1.21499E-2</c:v>
                </c:pt>
                <c:pt idx="122">
                  <c:v>1.2249899999999999E-2</c:v>
                </c:pt>
                <c:pt idx="123">
                  <c:v>1.23499E-2</c:v>
                </c:pt>
                <c:pt idx="124">
                  <c:v>1.24499E-2</c:v>
                </c:pt>
              </c:numCache>
            </c:numRef>
          </c:xVal>
          <c:yVal>
            <c:numRef>
              <c:f>Calc!$B$9:$B$133</c:f>
              <c:numCache>
                <c:formatCode>0.00E+00</c:formatCode>
                <c:ptCount val="125"/>
                <c:pt idx="0">
                  <c:v>1.60948</c:v>
                </c:pt>
                <c:pt idx="1">
                  <c:v>4.25258</c:v>
                </c:pt>
                <c:pt idx="2">
                  <c:v>3.1560100000000002</c:v>
                </c:pt>
                <c:pt idx="3">
                  <c:v>2.3313899999999999</c:v>
                </c:pt>
                <c:pt idx="4">
                  <c:v>1.82786</c:v>
                </c:pt>
                <c:pt idx="5">
                  <c:v>1.49559</c:v>
                </c:pt>
                <c:pt idx="6">
                  <c:v>1.2612699999999999</c:v>
                </c:pt>
                <c:pt idx="7">
                  <c:v>1.08697</c:v>
                </c:pt>
                <c:pt idx="8">
                  <c:v>0.95201599999999997</c:v>
                </c:pt>
                <c:pt idx="9">
                  <c:v>0.84497100000000003</c:v>
                </c:pt>
                <c:pt idx="10">
                  <c:v>0.75804499999999997</c:v>
                </c:pt>
                <c:pt idx="11">
                  <c:v>0.68601500000000004</c:v>
                </c:pt>
                <c:pt idx="12">
                  <c:v>0.62546299999999999</c:v>
                </c:pt>
                <c:pt idx="13">
                  <c:v>0.57395499999999999</c:v>
                </c:pt>
                <c:pt idx="14">
                  <c:v>0.52946099999999996</c:v>
                </c:pt>
                <c:pt idx="15">
                  <c:v>0.49098399999999998</c:v>
                </c:pt>
                <c:pt idx="16">
                  <c:v>0.45696599999999998</c:v>
                </c:pt>
                <c:pt idx="17">
                  <c:v>0.42699799999999999</c:v>
                </c:pt>
                <c:pt idx="18">
                  <c:v>0.40011400000000003</c:v>
                </c:pt>
                <c:pt idx="19">
                  <c:v>0.37615300000000002</c:v>
                </c:pt>
                <c:pt idx="20">
                  <c:v>0.35446699999999998</c:v>
                </c:pt>
                <c:pt idx="21">
                  <c:v>0.334866</c:v>
                </c:pt>
                <c:pt idx="22">
                  <c:v>0.31699899999999998</c:v>
                </c:pt>
                <c:pt idx="23">
                  <c:v>0.30085000000000001</c:v>
                </c:pt>
                <c:pt idx="24">
                  <c:v>0.28581499999999999</c:v>
                </c:pt>
                <c:pt idx="25">
                  <c:v>0.27201999999999998</c:v>
                </c:pt>
                <c:pt idx="26">
                  <c:v>0.259432</c:v>
                </c:pt>
                <c:pt idx="27">
                  <c:v>0.24759300000000001</c:v>
                </c:pt>
                <c:pt idx="28">
                  <c:v>0.23665600000000001</c:v>
                </c:pt>
                <c:pt idx="29">
                  <c:v>0.22644500000000001</c:v>
                </c:pt>
                <c:pt idx="30">
                  <c:v>0.21700700000000001</c:v>
                </c:pt>
                <c:pt idx="31">
                  <c:v>0.208317</c:v>
                </c:pt>
                <c:pt idx="32">
                  <c:v>0.20000499999999999</c:v>
                </c:pt>
                <c:pt idx="33">
                  <c:v>0.19222800000000001</c:v>
                </c:pt>
                <c:pt idx="34">
                  <c:v>0.18512400000000001</c:v>
                </c:pt>
                <c:pt idx="35">
                  <c:v>0.17787500000000001</c:v>
                </c:pt>
                <c:pt idx="36">
                  <c:v>0.17139499999999999</c:v>
                </c:pt>
                <c:pt idx="37">
                  <c:v>0.16519900000000001</c:v>
                </c:pt>
                <c:pt idx="38">
                  <c:v>0.159418</c:v>
                </c:pt>
                <c:pt idx="39">
                  <c:v>0.15387100000000001</c:v>
                </c:pt>
                <c:pt idx="40">
                  <c:v>0.14873500000000001</c:v>
                </c:pt>
                <c:pt idx="41">
                  <c:v>0.14365600000000001</c:v>
                </c:pt>
                <c:pt idx="42">
                  <c:v>0.13892499999999999</c:v>
                </c:pt>
                <c:pt idx="43">
                  <c:v>0.134379</c:v>
                </c:pt>
                <c:pt idx="44">
                  <c:v>0.130186</c:v>
                </c:pt>
                <c:pt idx="45">
                  <c:v>0.12602099999999999</c:v>
                </c:pt>
                <c:pt idx="46">
                  <c:v>0.122172</c:v>
                </c:pt>
                <c:pt idx="47">
                  <c:v>0.11841699999999999</c:v>
                </c:pt>
                <c:pt idx="48">
                  <c:v>0.11483</c:v>
                </c:pt>
                <c:pt idx="49">
                  <c:v>0.111272</c:v>
                </c:pt>
                <c:pt idx="50">
                  <c:v>0.108239</c:v>
                </c:pt>
                <c:pt idx="51">
                  <c:v>0.10487200000000001</c:v>
                </c:pt>
                <c:pt idx="52">
                  <c:v>0.101782</c:v>
                </c:pt>
                <c:pt idx="53">
                  <c:v>9.8881800000000006E-2</c:v>
                </c:pt>
                <c:pt idx="54">
                  <c:v>9.5936499999999994E-2</c:v>
                </c:pt>
                <c:pt idx="55">
                  <c:v>9.3315899999999993E-2</c:v>
                </c:pt>
                <c:pt idx="56">
                  <c:v>9.0751899999999996E-2</c:v>
                </c:pt>
                <c:pt idx="57">
                  <c:v>8.8161600000000007E-2</c:v>
                </c:pt>
                <c:pt idx="58">
                  <c:v>8.5688899999999998E-2</c:v>
                </c:pt>
                <c:pt idx="59">
                  <c:v>8.3447199999999999E-2</c:v>
                </c:pt>
                <c:pt idx="60">
                  <c:v>8.1144999999999995E-2</c:v>
                </c:pt>
                <c:pt idx="61">
                  <c:v>7.9017100000000007E-2</c:v>
                </c:pt>
                <c:pt idx="62">
                  <c:v>7.6967800000000003E-2</c:v>
                </c:pt>
                <c:pt idx="63">
                  <c:v>7.4830499999999994E-2</c:v>
                </c:pt>
                <c:pt idx="64">
                  <c:v>7.2910600000000006E-2</c:v>
                </c:pt>
                <c:pt idx="65">
                  <c:v>7.1108400000000002E-2</c:v>
                </c:pt>
                <c:pt idx="66">
                  <c:v>6.9276799999999999E-2</c:v>
                </c:pt>
                <c:pt idx="67">
                  <c:v>6.7433099999999996E-2</c:v>
                </c:pt>
                <c:pt idx="68">
                  <c:v>6.5584500000000004E-2</c:v>
                </c:pt>
                <c:pt idx="69">
                  <c:v>6.3971700000000006E-2</c:v>
                </c:pt>
                <c:pt idx="70">
                  <c:v>6.2489200000000002E-2</c:v>
                </c:pt>
                <c:pt idx="71">
                  <c:v>6.0918399999999998E-2</c:v>
                </c:pt>
                <c:pt idx="72">
                  <c:v>5.9150399999999999E-2</c:v>
                </c:pt>
                <c:pt idx="73">
                  <c:v>5.7641600000000001E-2</c:v>
                </c:pt>
                <c:pt idx="74">
                  <c:v>5.6077599999999998E-2</c:v>
                </c:pt>
                <c:pt idx="75">
                  <c:v>5.5011200000000003E-2</c:v>
                </c:pt>
                <c:pt idx="76">
                  <c:v>5.3387200000000003E-2</c:v>
                </c:pt>
                <c:pt idx="77">
                  <c:v>5.2246099999999997E-2</c:v>
                </c:pt>
                <c:pt idx="78">
                  <c:v>5.0854499999999997E-2</c:v>
                </c:pt>
                <c:pt idx="79">
                  <c:v>4.9592299999999999E-2</c:v>
                </c:pt>
                <c:pt idx="80">
                  <c:v>4.8390599999999999E-2</c:v>
                </c:pt>
                <c:pt idx="81">
                  <c:v>4.70888E-2</c:v>
                </c:pt>
                <c:pt idx="82">
                  <c:v>4.5876399999999998E-2</c:v>
                </c:pt>
                <c:pt idx="83">
                  <c:v>4.4902299999999999E-2</c:v>
                </c:pt>
                <c:pt idx="84">
                  <c:v>4.3813900000000003E-2</c:v>
                </c:pt>
                <c:pt idx="85">
                  <c:v>4.2873500000000002E-2</c:v>
                </c:pt>
                <c:pt idx="86">
                  <c:v>4.1583000000000002E-2</c:v>
                </c:pt>
                <c:pt idx="87">
                  <c:v>4.0874000000000001E-2</c:v>
                </c:pt>
                <c:pt idx="88">
                  <c:v>3.96636E-2</c:v>
                </c:pt>
                <c:pt idx="89">
                  <c:v>3.8719200000000002E-2</c:v>
                </c:pt>
                <c:pt idx="90">
                  <c:v>3.7855E-2</c:v>
                </c:pt>
                <c:pt idx="91">
                  <c:v>3.6844200000000001E-2</c:v>
                </c:pt>
                <c:pt idx="92">
                  <c:v>3.5999499999999997E-2</c:v>
                </c:pt>
                <c:pt idx="93">
                  <c:v>3.5106900000000003E-2</c:v>
                </c:pt>
                <c:pt idx="94">
                  <c:v>3.4112299999999998E-2</c:v>
                </c:pt>
                <c:pt idx="95">
                  <c:v>3.3402800000000003E-2</c:v>
                </c:pt>
                <c:pt idx="96">
                  <c:v>3.2632799999999997E-2</c:v>
                </c:pt>
                <c:pt idx="97">
                  <c:v>3.1780700000000002E-2</c:v>
                </c:pt>
                <c:pt idx="98">
                  <c:v>3.09848E-2</c:v>
                </c:pt>
                <c:pt idx="99">
                  <c:v>3.0428199999999999E-2</c:v>
                </c:pt>
                <c:pt idx="100">
                  <c:v>2.9398400000000002E-2</c:v>
                </c:pt>
                <c:pt idx="101">
                  <c:v>2.8663999999999999E-2</c:v>
                </c:pt>
                <c:pt idx="102">
                  <c:v>2.79609E-2</c:v>
                </c:pt>
                <c:pt idx="103">
                  <c:v>2.71465E-2</c:v>
                </c:pt>
                <c:pt idx="104">
                  <c:v>2.6367700000000001E-2</c:v>
                </c:pt>
                <c:pt idx="105">
                  <c:v>2.6020000000000001E-2</c:v>
                </c:pt>
                <c:pt idx="106">
                  <c:v>2.53227E-2</c:v>
                </c:pt>
                <c:pt idx="107">
                  <c:v>2.45586E-2</c:v>
                </c:pt>
                <c:pt idx="108">
                  <c:v>2.3898900000000001E-2</c:v>
                </c:pt>
                <c:pt idx="109">
                  <c:v>2.3230899999999999E-2</c:v>
                </c:pt>
                <c:pt idx="110">
                  <c:v>2.2715800000000001E-2</c:v>
                </c:pt>
                <c:pt idx="111">
                  <c:v>2.2178199999999999E-2</c:v>
                </c:pt>
                <c:pt idx="112">
                  <c:v>2.16528E-2</c:v>
                </c:pt>
                <c:pt idx="113">
                  <c:v>2.1036599999999999E-2</c:v>
                </c:pt>
                <c:pt idx="114">
                  <c:v>2.0454099999999999E-2</c:v>
                </c:pt>
                <c:pt idx="115">
                  <c:v>1.9888699999999999E-2</c:v>
                </c:pt>
                <c:pt idx="116">
                  <c:v>1.93013E-2</c:v>
                </c:pt>
                <c:pt idx="117">
                  <c:v>1.87563E-2</c:v>
                </c:pt>
                <c:pt idx="118">
                  <c:v>1.8250499999999999E-2</c:v>
                </c:pt>
                <c:pt idx="119">
                  <c:v>1.76528E-2</c:v>
                </c:pt>
                <c:pt idx="120">
                  <c:v>1.7101499999999999E-2</c:v>
                </c:pt>
                <c:pt idx="121">
                  <c:v>1.6737800000000001E-2</c:v>
                </c:pt>
                <c:pt idx="122">
                  <c:v>1.6443800000000001E-2</c:v>
                </c:pt>
                <c:pt idx="123">
                  <c:v>1.5775399999999998E-2</c:v>
                </c:pt>
                <c:pt idx="124">
                  <c:v>1.53364E-2</c:v>
                </c:pt>
              </c:numCache>
            </c:numRef>
          </c:yVal>
          <c:smooth val="1"/>
        </c:ser>
        <c:ser>
          <c:idx val="2"/>
          <c:order val="2"/>
          <c:tx>
            <c:v>PC_Upper</c:v>
          </c:tx>
          <c:spPr>
            <a:ln w="25400">
              <a:solidFill>
                <a:srgbClr val="FF0000"/>
              </a:solidFill>
              <a:prstDash val="lgDash"/>
            </a:ln>
          </c:spPr>
          <c:marker>
            <c:symbol val="none"/>
          </c:marker>
          <c:xVal>
            <c:numRef>
              <c:f>Command!$B$17:$B$18</c:f>
              <c:numCache>
                <c:formatCode>0.00E+00</c:formatCode>
                <c:ptCount val="2"/>
                <c:pt idx="0" formatCode="General">
                  <c:v>0</c:v>
                </c:pt>
                <c:pt idx="1">
                  <c:v>1.24499E-2</c:v>
                </c:pt>
              </c:numCache>
            </c:numRef>
          </c:xVal>
          <c:yVal>
            <c:numRef>
              <c:f>Command!$C$17:$C$18</c:f>
              <c:numCache>
                <c:formatCode>General</c:formatCode>
                <c:ptCount val="2"/>
                <c:pt idx="0">
                  <c:v>5</c:v>
                </c:pt>
                <c:pt idx="1">
                  <c:v>5</c:v>
                </c:pt>
              </c:numCache>
            </c:numRef>
          </c:yVal>
          <c:smooth val="1"/>
        </c:ser>
        <c:ser>
          <c:idx val="4"/>
          <c:order val="4"/>
          <c:tx>
            <c:v>PC_Lower</c:v>
          </c:tx>
          <c:spPr>
            <a:ln w="25400">
              <a:solidFill>
                <a:srgbClr val="FF0000"/>
              </a:solidFill>
              <a:prstDash val="lgDash"/>
            </a:ln>
          </c:spPr>
          <c:marker>
            <c:symbol val="none"/>
          </c:marker>
          <c:xVal>
            <c:numRef>
              <c:f>Command!$B$17:$B$18</c:f>
              <c:numCache>
                <c:formatCode>0.00E+00</c:formatCode>
                <c:ptCount val="2"/>
                <c:pt idx="0" formatCode="General">
                  <c:v>0</c:v>
                </c:pt>
                <c:pt idx="1">
                  <c:v>1.24499E-2</c:v>
                </c:pt>
              </c:numCache>
            </c:numRef>
          </c:xVal>
          <c:yVal>
            <c:numRef>
              <c:f>Command!$D$17:$D$18</c:f>
              <c:numCache>
                <c:formatCode>General</c:formatCode>
                <c:ptCount val="2"/>
                <c:pt idx="0">
                  <c:v>2</c:v>
                </c:pt>
                <c:pt idx="1">
                  <c:v>2</c:v>
                </c:pt>
              </c:numCache>
            </c:numRef>
          </c:yVal>
          <c:smooth val="0"/>
        </c:ser>
        <c:dLbls>
          <c:showLegendKey val="0"/>
          <c:showVal val="0"/>
          <c:showCatName val="0"/>
          <c:showSerName val="0"/>
          <c:showPercent val="0"/>
          <c:showBubbleSize val="0"/>
        </c:dLbls>
        <c:axId val="118566848"/>
        <c:axId val="118567424"/>
      </c:scatterChart>
      <c:valAx>
        <c:axId val="118565696"/>
        <c:scaling>
          <c:orientation val="minMax"/>
        </c:scaling>
        <c:delete val="0"/>
        <c:axPos val="b"/>
        <c:majorGridlines>
          <c:spPr>
            <a:ln w="3175">
              <a:solidFill>
                <a:srgbClr val="80808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Time (s)</a:t>
                </a:r>
              </a:p>
            </c:rich>
          </c:tx>
          <c:layout>
            <c:manualLayout>
              <c:xMode val="edge"/>
              <c:yMode val="edge"/>
              <c:x val="0.44077253565269792"/>
              <c:y val="0.86759581881533165"/>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18566272"/>
        <c:crosses val="autoZero"/>
        <c:crossBetween val="midCat"/>
      </c:valAx>
      <c:valAx>
        <c:axId val="118566272"/>
        <c:scaling>
          <c:orientation val="minMax"/>
          <c:max val="0.21000000000000002"/>
          <c:min val="0"/>
        </c:scaling>
        <c:delete val="0"/>
        <c:axPos val="l"/>
        <c:majorGridlines>
          <c:spPr>
            <a:ln w="3175">
              <a:solidFill>
                <a:srgbClr val="808080"/>
              </a:solidFill>
              <a:prstDash val="solid"/>
            </a:ln>
          </c:spPr>
        </c:majorGridlines>
        <c:title>
          <c:tx>
            <c:rich>
              <a:bodyPr/>
              <a:lstStyle/>
              <a:p>
                <a:pPr>
                  <a:defRPr sz="975" b="1" i="0" u="none" strike="noStrike" baseline="0">
                    <a:solidFill>
                      <a:srgbClr val="0000FF"/>
                    </a:solidFill>
                    <a:latin typeface="Arial"/>
                    <a:ea typeface="Arial"/>
                    <a:cs typeface="Arial"/>
                  </a:defRPr>
                </a:pPr>
                <a:r>
                  <a:rPr lang="en-US"/>
                  <a:t>light intensity (V)</a:t>
                </a:r>
              </a:p>
            </c:rich>
          </c:tx>
          <c:layout>
            <c:manualLayout>
              <c:xMode val="edge"/>
              <c:yMode val="edge"/>
              <c:x val="2.479345513046426E-2"/>
              <c:y val="0.26480836236935079"/>
            </c:manualLayout>
          </c:layout>
          <c:overlay val="0"/>
          <c:spPr>
            <a:noFill/>
            <a:ln w="25400">
              <a:noFill/>
            </a:ln>
          </c:spPr>
        </c:title>
        <c:numFmt formatCode="General" sourceLinked="0"/>
        <c:majorTickMark val="out"/>
        <c:minorTickMark val="none"/>
        <c:tickLblPos val="nextTo"/>
        <c:spPr>
          <a:ln w="3175">
            <a:solidFill>
              <a:srgbClr val="0000FF"/>
            </a:solidFill>
            <a:prstDash val="solid"/>
          </a:ln>
        </c:spPr>
        <c:txPr>
          <a:bodyPr rot="0" vert="horz"/>
          <a:lstStyle/>
          <a:p>
            <a:pPr>
              <a:defRPr sz="800" b="1" i="0" u="none" strike="noStrike" baseline="0">
                <a:solidFill>
                  <a:srgbClr val="0000FF"/>
                </a:solidFill>
                <a:latin typeface="Arial"/>
                <a:ea typeface="Arial"/>
                <a:cs typeface="Arial"/>
              </a:defRPr>
            </a:pPr>
            <a:endParaRPr lang="en-US"/>
          </a:p>
        </c:txPr>
        <c:crossAx val="118565696"/>
        <c:crosses val="autoZero"/>
        <c:crossBetween val="midCat"/>
      </c:valAx>
      <c:valAx>
        <c:axId val="118566848"/>
        <c:scaling>
          <c:orientation val="minMax"/>
        </c:scaling>
        <c:delete val="1"/>
        <c:axPos val="b"/>
        <c:numFmt formatCode="0.00E+00" sourceLinked="1"/>
        <c:majorTickMark val="out"/>
        <c:minorTickMark val="none"/>
        <c:tickLblPos val="none"/>
        <c:crossAx val="118567424"/>
        <c:crosses val="autoZero"/>
        <c:crossBetween val="midCat"/>
      </c:valAx>
      <c:valAx>
        <c:axId val="118567424"/>
        <c:scaling>
          <c:orientation val="minMax"/>
          <c:max val="5.25"/>
          <c:min val="0"/>
        </c:scaling>
        <c:delete val="0"/>
        <c:axPos val="r"/>
        <c:title>
          <c:tx>
            <c:rich>
              <a:bodyPr/>
              <a:lstStyle/>
              <a:p>
                <a:pPr>
                  <a:defRPr sz="975" b="1" i="0" u="none" strike="noStrike" baseline="0">
                    <a:solidFill>
                      <a:srgbClr val="FF0000"/>
                    </a:solidFill>
                    <a:latin typeface="Arial"/>
                    <a:ea typeface="Arial"/>
                    <a:cs typeface="Arial"/>
                  </a:defRPr>
                </a:pPr>
                <a:r>
                  <a:rPr lang="en-US"/>
                  <a:t>photoconductance (V)</a:t>
                </a:r>
              </a:p>
            </c:rich>
          </c:tx>
          <c:layout>
            <c:manualLayout>
              <c:xMode val="edge"/>
              <c:yMode val="edge"/>
              <c:x val="0.91735783982717767"/>
              <c:y val="0.20905923344948274"/>
            </c:manualLayout>
          </c:layout>
          <c:overlay val="0"/>
          <c:spPr>
            <a:noFill/>
            <a:ln w="25400">
              <a:noFill/>
            </a:ln>
          </c:spPr>
        </c:title>
        <c:numFmt formatCode="General" sourceLinked="0"/>
        <c:majorTickMark val="cross"/>
        <c:minorTickMark val="none"/>
        <c:tickLblPos val="nextTo"/>
        <c:spPr>
          <a:ln w="3175">
            <a:solidFill>
              <a:srgbClr val="FF0000"/>
            </a:solidFill>
            <a:prstDash val="solid"/>
          </a:ln>
        </c:spPr>
        <c:txPr>
          <a:bodyPr rot="0" vert="horz"/>
          <a:lstStyle/>
          <a:p>
            <a:pPr>
              <a:defRPr sz="800" b="1" i="0" u="none" strike="noStrike" baseline="0">
                <a:solidFill>
                  <a:srgbClr val="FF0000"/>
                </a:solidFill>
                <a:latin typeface="Arial"/>
                <a:ea typeface="Arial"/>
                <a:cs typeface="Arial"/>
              </a:defRPr>
            </a:pPr>
            <a:endParaRPr lang="en-US"/>
          </a:p>
        </c:txPr>
        <c:crossAx val="118566848"/>
        <c:crosses val="max"/>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000000000001288" r="0.75000000000001288"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246266628290124"/>
          <c:y val="8.0597797266354215E-2"/>
          <c:w val="0.61100955958469816"/>
          <c:h val="0.6961432236666657"/>
        </c:manualLayout>
      </c:layout>
      <c:scatterChart>
        <c:scatterStyle val="smoothMarker"/>
        <c:varyColors val="0"/>
        <c:ser>
          <c:idx val="0"/>
          <c:order val="0"/>
          <c:tx>
            <c:v>Light Intensity (suns)</c:v>
          </c:tx>
          <c:marker>
            <c:symbol val="none"/>
          </c:marker>
          <c:xVal>
            <c:numRef>
              <c:f>Calc!$A$9:$A$133</c:f>
              <c:numCache>
                <c:formatCode>0.00E+00</c:formatCode>
                <c:ptCount val="125"/>
                <c:pt idx="0">
                  <c:v>4.9920000000000003E-5</c:v>
                </c:pt>
                <c:pt idx="1">
                  <c:v>1.4992E-4</c:v>
                </c:pt>
                <c:pt idx="2">
                  <c:v>2.4991999999999999E-4</c:v>
                </c:pt>
                <c:pt idx="3">
                  <c:v>3.4991999999999998E-4</c:v>
                </c:pt>
                <c:pt idx="4">
                  <c:v>4.4991999999999997E-4</c:v>
                </c:pt>
                <c:pt idx="5">
                  <c:v>5.4991999999999997E-4</c:v>
                </c:pt>
                <c:pt idx="6">
                  <c:v>6.4992000000000001E-4</c:v>
                </c:pt>
                <c:pt idx="7">
                  <c:v>7.4991999999999995E-4</c:v>
                </c:pt>
                <c:pt idx="8">
                  <c:v>8.4991999999999999E-4</c:v>
                </c:pt>
                <c:pt idx="9">
                  <c:v>9.4992000000000004E-4</c:v>
                </c:pt>
                <c:pt idx="10">
                  <c:v>1.04992E-3</c:v>
                </c:pt>
                <c:pt idx="11">
                  <c:v>1.14992E-3</c:v>
                </c:pt>
                <c:pt idx="12">
                  <c:v>1.2499200000000001E-3</c:v>
                </c:pt>
                <c:pt idx="13">
                  <c:v>1.3499199999999999E-3</c:v>
                </c:pt>
                <c:pt idx="14">
                  <c:v>1.4499199999999999E-3</c:v>
                </c:pt>
                <c:pt idx="15">
                  <c:v>1.54992E-3</c:v>
                </c:pt>
                <c:pt idx="16">
                  <c:v>1.64992E-3</c:v>
                </c:pt>
                <c:pt idx="17">
                  <c:v>1.7499200000000001E-3</c:v>
                </c:pt>
                <c:pt idx="18">
                  <c:v>1.8499199999999999E-3</c:v>
                </c:pt>
                <c:pt idx="19">
                  <c:v>1.94992E-3</c:v>
                </c:pt>
                <c:pt idx="20">
                  <c:v>2.0499200000000002E-3</c:v>
                </c:pt>
                <c:pt idx="21">
                  <c:v>2.14992E-3</c:v>
                </c:pt>
                <c:pt idx="22">
                  <c:v>2.2499199999999999E-3</c:v>
                </c:pt>
                <c:pt idx="23">
                  <c:v>2.3499200000000001E-3</c:v>
                </c:pt>
                <c:pt idx="24">
                  <c:v>2.44992E-3</c:v>
                </c:pt>
                <c:pt idx="25">
                  <c:v>2.5499199999999998E-3</c:v>
                </c:pt>
                <c:pt idx="26">
                  <c:v>2.6499200000000001E-3</c:v>
                </c:pt>
                <c:pt idx="27">
                  <c:v>2.7499199999999999E-3</c:v>
                </c:pt>
                <c:pt idx="28">
                  <c:v>2.8499200000000001E-3</c:v>
                </c:pt>
                <c:pt idx="29">
                  <c:v>2.94992E-3</c:v>
                </c:pt>
                <c:pt idx="30">
                  <c:v>3.0499199999999998E-3</c:v>
                </c:pt>
                <c:pt idx="31">
                  <c:v>3.1499200000000001E-3</c:v>
                </c:pt>
                <c:pt idx="32">
                  <c:v>3.2499199999999999E-3</c:v>
                </c:pt>
                <c:pt idx="33">
                  <c:v>3.3499200000000002E-3</c:v>
                </c:pt>
                <c:pt idx="34">
                  <c:v>3.44992E-3</c:v>
                </c:pt>
                <c:pt idx="35">
                  <c:v>3.5499199999999998E-3</c:v>
                </c:pt>
                <c:pt idx="36">
                  <c:v>3.6499200000000001E-3</c:v>
                </c:pt>
                <c:pt idx="37">
                  <c:v>3.7499199999999999E-3</c:v>
                </c:pt>
                <c:pt idx="38">
                  <c:v>3.8499200000000002E-3</c:v>
                </c:pt>
                <c:pt idx="39">
                  <c:v>3.94992E-3</c:v>
                </c:pt>
                <c:pt idx="40">
                  <c:v>4.0499200000000003E-3</c:v>
                </c:pt>
                <c:pt idx="41">
                  <c:v>4.1499199999999997E-3</c:v>
                </c:pt>
                <c:pt idx="42">
                  <c:v>4.2499199999999999E-3</c:v>
                </c:pt>
                <c:pt idx="43">
                  <c:v>4.3499200000000002E-3</c:v>
                </c:pt>
                <c:pt idx="44">
                  <c:v>4.4499199999999996E-3</c:v>
                </c:pt>
                <c:pt idx="45">
                  <c:v>4.5499199999999998E-3</c:v>
                </c:pt>
                <c:pt idx="46">
                  <c:v>4.6499200000000001E-3</c:v>
                </c:pt>
                <c:pt idx="47">
                  <c:v>4.7499200000000004E-3</c:v>
                </c:pt>
                <c:pt idx="48">
                  <c:v>4.8499199999999998E-3</c:v>
                </c:pt>
                <c:pt idx="49">
                  <c:v>4.94992E-3</c:v>
                </c:pt>
                <c:pt idx="50">
                  <c:v>5.0499200000000003E-3</c:v>
                </c:pt>
                <c:pt idx="51">
                  <c:v>5.1499199999999997E-3</c:v>
                </c:pt>
                <c:pt idx="52">
                  <c:v>5.2499199999999999E-3</c:v>
                </c:pt>
                <c:pt idx="53">
                  <c:v>5.3499200000000002E-3</c:v>
                </c:pt>
                <c:pt idx="54">
                  <c:v>5.4499199999999996E-3</c:v>
                </c:pt>
                <c:pt idx="55">
                  <c:v>5.5499199999999999E-3</c:v>
                </c:pt>
                <c:pt idx="56">
                  <c:v>5.6499200000000001E-3</c:v>
                </c:pt>
                <c:pt idx="57">
                  <c:v>5.7499200000000004E-3</c:v>
                </c:pt>
                <c:pt idx="58">
                  <c:v>5.8499199999999998E-3</c:v>
                </c:pt>
                <c:pt idx="59">
                  <c:v>5.94992E-3</c:v>
                </c:pt>
                <c:pt idx="60">
                  <c:v>6.0499200000000003E-3</c:v>
                </c:pt>
                <c:pt idx="61">
                  <c:v>6.1499199999999997E-3</c:v>
                </c:pt>
                <c:pt idx="62">
                  <c:v>6.24992E-3</c:v>
                </c:pt>
                <c:pt idx="63">
                  <c:v>6.3499200000000002E-3</c:v>
                </c:pt>
                <c:pt idx="64">
                  <c:v>6.4499199999999996E-3</c:v>
                </c:pt>
                <c:pt idx="65">
                  <c:v>6.5499199999999999E-3</c:v>
                </c:pt>
                <c:pt idx="66">
                  <c:v>6.6499200000000001E-3</c:v>
                </c:pt>
                <c:pt idx="67">
                  <c:v>6.7499200000000004E-3</c:v>
                </c:pt>
                <c:pt idx="68">
                  <c:v>6.8499199999999998E-3</c:v>
                </c:pt>
                <c:pt idx="69">
                  <c:v>6.9499200000000001E-3</c:v>
                </c:pt>
                <c:pt idx="70">
                  <c:v>7.0499200000000003E-3</c:v>
                </c:pt>
                <c:pt idx="71">
                  <c:v>7.1499199999999997E-3</c:v>
                </c:pt>
                <c:pt idx="72">
                  <c:v>7.24992E-3</c:v>
                </c:pt>
                <c:pt idx="73">
                  <c:v>7.3499200000000002E-3</c:v>
                </c:pt>
                <c:pt idx="74">
                  <c:v>7.4499199999999996E-3</c:v>
                </c:pt>
                <c:pt idx="75">
                  <c:v>7.5499199999999999E-3</c:v>
                </c:pt>
                <c:pt idx="76">
                  <c:v>7.6499200000000002E-3</c:v>
                </c:pt>
                <c:pt idx="77">
                  <c:v>7.7499200000000004E-3</c:v>
                </c:pt>
                <c:pt idx="78">
                  <c:v>7.8499199999999998E-3</c:v>
                </c:pt>
                <c:pt idx="79">
                  <c:v>7.9499199999999992E-3</c:v>
                </c:pt>
                <c:pt idx="80">
                  <c:v>8.0499200000000003E-3</c:v>
                </c:pt>
                <c:pt idx="81">
                  <c:v>8.1499199999999997E-3</c:v>
                </c:pt>
                <c:pt idx="82">
                  <c:v>8.2499200000000009E-3</c:v>
                </c:pt>
                <c:pt idx="83">
                  <c:v>8.3499200000000003E-3</c:v>
                </c:pt>
                <c:pt idx="84">
                  <c:v>8.4499199999999997E-3</c:v>
                </c:pt>
                <c:pt idx="85">
                  <c:v>8.5499200000000008E-3</c:v>
                </c:pt>
                <c:pt idx="86">
                  <c:v>8.6499200000000002E-3</c:v>
                </c:pt>
                <c:pt idx="87">
                  <c:v>8.7499199999999996E-3</c:v>
                </c:pt>
                <c:pt idx="88">
                  <c:v>8.8499200000000007E-3</c:v>
                </c:pt>
                <c:pt idx="89">
                  <c:v>8.9499200000000001E-3</c:v>
                </c:pt>
                <c:pt idx="90">
                  <c:v>9.0499199999999995E-3</c:v>
                </c:pt>
                <c:pt idx="91">
                  <c:v>9.1499200000000006E-3</c:v>
                </c:pt>
                <c:pt idx="92">
                  <c:v>9.24992E-3</c:v>
                </c:pt>
                <c:pt idx="93">
                  <c:v>9.3499199999999994E-3</c:v>
                </c:pt>
                <c:pt idx="94">
                  <c:v>9.4499200000000005E-3</c:v>
                </c:pt>
                <c:pt idx="95">
                  <c:v>9.5499199999999999E-3</c:v>
                </c:pt>
                <c:pt idx="96">
                  <c:v>9.6499199999999993E-3</c:v>
                </c:pt>
                <c:pt idx="97">
                  <c:v>9.7499200000000005E-3</c:v>
                </c:pt>
                <c:pt idx="98">
                  <c:v>9.8499199999999999E-3</c:v>
                </c:pt>
                <c:pt idx="99">
                  <c:v>9.9499199999999993E-3</c:v>
                </c:pt>
                <c:pt idx="100">
                  <c:v>1.00499E-2</c:v>
                </c:pt>
                <c:pt idx="101">
                  <c:v>1.01499E-2</c:v>
                </c:pt>
                <c:pt idx="102">
                  <c:v>1.0249899999999999E-2</c:v>
                </c:pt>
                <c:pt idx="103">
                  <c:v>1.03499E-2</c:v>
                </c:pt>
                <c:pt idx="104">
                  <c:v>1.04499E-2</c:v>
                </c:pt>
                <c:pt idx="105">
                  <c:v>1.0549899999999999E-2</c:v>
                </c:pt>
                <c:pt idx="106">
                  <c:v>1.06499E-2</c:v>
                </c:pt>
                <c:pt idx="107">
                  <c:v>1.07499E-2</c:v>
                </c:pt>
                <c:pt idx="108">
                  <c:v>1.0849900000000001E-2</c:v>
                </c:pt>
                <c:pt idx="109">
                  <c:v>1.09499E-2</c:v>
                </c:pt>
                <c:pt idx="110">
                  <c:v>1.10499E-2</c:v>
                </c:pt>
                <c:pt idx="111">
                  <c:v>1.1149900000000001E-2</c:v>
                </c:pt>
                <c:pt idx="112">
                  <c:v>1.12499E-2</c:v>
                </c:pt>
                <c:pt idx="113">
                  <c:v>1.13499E-2</c:v>
                </c:pt>
                <c:pt idx="114">
                  <c:v>1.1449900000000001E-2</c:v>
                </c:pt>
                <c:pt idx="115">
                  <c:v>1.15499E-2</c:v>
                </c:pt>
                <c:pt idx="116">
                  <c:v>1.1649899999999999E-2</c:v>
                </c:pt>
                <c:pt idx="117">
                  <c:v>1.1749900000000001E-2</c:v>
                </c:pt>
                <c:pt idx="118">
                  <c:v>1.18499E-2</c:v>
                </c:pt>
                <c:pt idx="119">
                  <c:v>1.1949899999999999E-2</c:v>
                </c:pt>
                <c:pt idx="120">
                  <c:v>1.2049900000000001E-2</c:v>
                </c:pt>
                <c:pt idx="121">
                  <c:v>1.21499E-2</c:v>
                </c:pt>
                <c:pt idx="122">
                  <c:v>1.2249899999999999E-2</c:v>
                </c:pt>
                <c:pt idx="123">
                  <c:v>1.23499E-2</c:v>
                </c:pt>
                <c:pt idx="124">
                  <c:v>1.24499E-2</c:v>
                </c:pt>
              </c:numCache>
            </c:numRef>
          </c:xVal>
          <c:yVal>
            <c:numRef>
              <c:f>Calc!$D$9:$D$133</c:f>
              <c:numCache>
                <c:formatCode>0.00</c:formatCode>
                <c:ptCount val="125"/>
                <c:pt idx="0">
                  <c:v>15.350713084502495</c:v>
                </c:pt>
                <c:pt idx="1">
                  <c:v>9.5618693437613729</c:v>
                </c:pt>
                <c:pt idx="2">
                  <c:v>0.30070792021258219</c:v>
                </c:pt>
                <c:pt idx="3">
                  <c:v>1.0000000000000001E-5</c:v>
                </c:pt>
                <c:pt idx="4">
                  <c:v>1.5354582570872893E-2</c:v>
                </c:pt>
                <c:pt idx="5">
                  <c:v>5.8373689424384536E-3</c:v>
                </c:pt>
                <c:pt idx="6">
                  <c:v>3.3127778384499373E-3</c:v>
                </c:pt>
                <c:pt idx="7">
                  <c:v>1.7922631692026078E-3</c:v>
                </c:pt>
                <c:pt idx="8">
                  <c:v>5.4705969129015795E-4</c:v>
                </c:pt>
                <c:pt idx="9">
                  <c:v>1.0000000000000001E-5</c:v>
                </c:pt>
                <c:pt idx="10">
                  <c:v>5.4016555640690149E-5</c:v>
                </c:pt>
                <c:pt idx="11">
                  <c:v>4.4629181706108082E-4</c:v>
                </c:pt>
                <c:pt idx="12">
                  <c:v>1.0000000000000001E-5</c:v>
                </c:pt>
                <c:pt idx="13">
                  <c:v>1.0000000000000001E-5</c:v>
                </c:pt>
                <c:pt idx="14">
                  <c:v>1.0000000000000001E-5</c:v>
                </c:pt>
                <c:pt idx="15">
                  <c:v>1.0000000000000001E-5</c:v>
                </c:pt>
                <c:pt idx="16">
                  <c:v>1.0000000000000001E-5</c:v>
                </c:pt>
                <c:pt idx="17">
                  <c:v>1.0000000000000001E-5</c:v>
                </c:pt>
                <c:pt idx="18">
                  <c:v>1.0830323828228511E-5</c:v>
                </c:pt>
                <c:pt idx="19">
                  <c:v>1.0000000000000001E-5</c:v>
                </c:pt>
                <c:pt idx="20">
                  <c:v>1.0000000000000001E-5</c:v>
                </c:pt>
                <c:pt idx="21">
                  <c:v>1.0000000000000001E-5</c:v>
                </c:pt>
                <c:pt idx="22">
                  <c:v>1.0000000000000001E-5</c:v>
                </c:pt>
                <c:pt idx="23">
                  <c:v>1.0000000000000001E-5</c:v>
                </c:pt>
                <c:pt idx="24">
                  <c:v>1.0000000000000001E-5</c:v>
                </c:pt>
                <c:pt idx="25">
                  <c:v>1.0000000000000001E-5</c:v>
                </c:pt>
                <c:pt idx="26">
                  <c:v>1.0000000000000001E-5</c:v>
                </c:pt>
                <c:pt idx="27">
                  <c:v>1.0000000000000001E-5</c:v>
                </c:pt>
                <c:pt idx="28">
                  <c:v>9.8251786782040714E-4</c:v>
                </c:pt>
                <c:pt idx="29">
                  <c:v>8.295690485802538E-4</c:v>
                </c:pt>
                <c:pt idx="30">
                  <c:v>8.4216514802217316E-4</c:v>
                </c:pt>
                <c:pt idx="31">
                  <c:v>1.0652972369585337E-3</c:v>
                </c:pt>
                <c:pt idx="32">
                  <c:v>3.6891590924732965E-4</c:v>
                </c:pt>
                <c:pt idx="33">
                  <c:v>1.1192765718255656E-3</c:v>
                </c:pt>
                <c:pt idx="34">
                  <c:v>1.3262111750767017E-3</c:v>
                </c:pt>
                <c:pt idx="35">
                  <c:v>4.9667529352248011E-4</c:v>
                </c:pt>
                <c:pt idx="36">
                  <c:v>1.5601400522927474E-3</c:v>
                </c:pt>
                <c:pt idx="37">
                  <c:v>1.0760949465444974E-3</c:v>
                </c:pt>
                <c:pt idx="38">
                  <c:v>7.0720851909808501E-4</c:v>
                </c:pt>
                <c:pt idx="39">
                  <c:v>1.0077155945419183E-3</c:v>
                </c:pt>
                <c:pt idx="40">
                  <c:v>5.2186749240631903E-4</c:v>
                </c:pt>
                <c:pt idx="41">
                  <c:v>3.4012508803902186E-4</c:v>
                </c:pt>
                <c:pt idx="42">
                  <c:v>9.2853853295337514E-4</c:v>
                </c:pt>
                <c:pt idx="43">
                  <c:v>1.356798543528408E-3</c:v>
                </c:pt>
                <c:pt idx="44">
                  <c:v>9.5553280691828451E-4</c:v>
                </c:pt>
                <c:pt idx="45">
                  <c:v>9.8251786782040714E-4</c:v>
                </c:pt>
                <c:pt idx="46">
                  <c:v>7.0900783026031948E-4</c:v>
                </c:pt>
                <c:pt idx="47">
                  <c:v>4.6968378347640673E-4</c:v>
                </c:pt>
                <c:pt idx="48">
                  <c:v>3.70715220409564E-4</c:v>
                </c:pt>
                <c:pt idx="49">
                  <c:v>8.0617708216492779E-4</c:v>
                </c:pt>
                <c:pt idx="50">
                  <c:v>7.3959796263086167E-4</c:v>
                </c:pt>
                <c:pt idx="51">
                  <c:v>4.0850351873532244E-4</c:v>
                </c:pt>
                <c:pt idx="52">
                  <c:v>8.8715069099686928E-4</c:v>
                </c:pt>
                <c:pt idx="53">
                  <c:v>6.1543720068017987E-4</c:v>
                </c:pt>
                <c:pt idx="54">
                  <c:v>4.7508263826938856E-4</c:v>
                </c:pt>
                <c:pt idx="55">
                  <c:v>9.8612017536999072E-4</c:v>
                </c:pt>
                <c:pt idx="56">
                  <c:v>5.0417749054965612E-5</c:v>
                </c:pt>
                <c:pt idx="57">
                  <c:v>1.0000000000000001E-5</c:v>
                </c:pt>
                <c:pt idx="58">
                  <c:v>1.0000000000000001E-5</c:v>
                </c:pt>
                <c:pt idx="59">
                  <c:v>1.0000000000000001E-5</c:v>
                </c:pt>
                <c:pt idx="60">
                  <c:v>1.3499071725639876E-4</c:v>
                </c:pt>
                <c:pt idx="61">
                  <c:v>1.0000000000000001E-5</c:v>
                </c:pt>
                <c:pt idx="62">
                  <c:v>1.0000000000000001E-5</c:v>
                </c:pt>
                <c:pt idx="63">
                  <c:v>1.0000000000000001E-5</c:v>
                </c:pt>
                <c:pt idx="64">
                  <c:v>1.4989561023265486E-3</c:v>
                </c:pt>
                <c:pt idx="65">
                  <c:v>1.952413839623092E-3</c:v>
                </c:pt>
                <c:pt idx="66">
                  <c:v>1.1606616498632356E-3</c:v>
                </c:pt>
                <c:pt idx="67">
                  <c:v>8.8895000215910363E-4</c:v>
                </c:pt>
                <c:pt idx="68">
                  <c:v>1.4881583927405845E-3</c:v>
                </c:pt>
                <c:pt idx="69">
                  <c:v>1.2830203367328469E-3</c:v>
                </c:pt>
                <c:pt idx="70">
                  <c:v>1.0814845882746926E-3</c:v>
                </c:pt>
                <c:pt idx="71">
                  <c:v>1.0778914937878959E-3</c:v>
                </c:pt>
                <c:pt idx="72">
                  <c:v>1.1228788793751492E-3</c:v>
                </c:pt>
                <c:pt idx="73">
                  <c:v>1.3316100298696838E-3</c:v>
                </c:pt>
                <c:pt idx="74">
                  <c:v>1.3298134826262853E-3</c:v>
                </c:pt>
                <c:pt idx="75">
                  <c:v>8.0437777100269344E-4</c:v>
                </c:pt>
                <c:pt idx="76">
                  <c:v>2.8824633148734793E-5</c:v>
                </c:pt>
                <c:pt idx="77">
                  <c:v>1.0000000000000001E-5</c:v>
                </c:pt>
                <c:pt idx="78">
                  <c:v>1.0000000000000001E-5</c:v>
                </c:pt>
                <c:pt idx="79">
                  <c:v>1.0000000000000001E-5</c:v>
                </c:pt>
                <c:pt idx="80">
                  <c:v>1.0000000000000001E-5</c:v>
                </c:pt>
                <c:pt idx="81">
                  <c:v>1.0000000000000001E-5</c:v>
                </c:pt>
                <c:pt idx="82">
                  <c:v>1.0000000000000001E-5</c:v>
                </c:pt>
                <c:pt idx="83">
                  <c:v>9.5013395212530268E-4</c:v>
                </c:pt>
                <c:pt idx="84">
                  <c:v>1.7058907055776844E-3</c:v>
                </c:pt>
                <c:pt idx="85">
                  <c:v>1.5799297111584898E-3</c:v>
                </c:pt>
                <c:pt idx="86">
                  <c:v>1.9272161129015811E-3</c:v>
                </c:pt>
                <c:pt idx="87">
                  <c:v>1.5925239679878518E-3</c:v>
                </c:pt>
                <c:pt idx="88">
                  <c:v>7.3599934030639286E-4</c:v>
                </c:pt>
                <c:pt idx="89">
                  <c:v>1.5295434707782547E-3</c:v>
                </c:pt>
                <c:pt idx="90">
                  <c:v>1.6609033199904311E-3</c:v>
                </c:pt>
                <c:pt idx="91">
                  <c:v>1.3855893647367157E-3</c:v>
                </c:pt>
                <c:pt idx="92">
                  <c:v>1.3729951079073535E-3</c:v>
                </c:pt>
                <c:pt idx="93">
                  <c:v>1.146270845790475E-3</c:v>
                </c:pt>
                <c:pt idx="94">
                  <c:v>4.7148309463864113E-4</c:v>
                </c:pt>
                <c:pt idx="95">
                  <c:v>6.9641173081839991E-4</c:v>
                </c:pt>
                <c:pt idx="96">
                  <c:v>3.6531728692286078E-4</c:v>
                </c:pt>
                <c:pt idx="97">
                  <c:v>1.3100146106977562E-3</c:v>
                </c:pt>
                <c:pt idx="98">
                  <c:v>1.3586043038345931E-3</c:v>
                </c:pt>
                <c:pt idx="99">
                  <c:v>1.6537079179540508E-3</c:v>
                </c:pt>
                <c:pt idx="100">
                  <c:v>1.6177216947093629E-3</c:v>
                </c:pt>
                <c:pt idx="101">
                  <c:v>7.377986514686271E-4</c:v>
                </c:pt>
                <c:pt idx="102">
                  <c:v>1.0005109794427511E-3</c:v>
                </c:pt>
                <c:pt idx="103">
                  <c:v>1.0000000000000001E-5</c:v>
                </c:pt>
                <c:pt idx="104">
                  <c:v>1.0000000000000001E-5</c:v>
                </c:pt>
                <c:pt idx="105">
                  <c:v>1.0000000000000001E-5</c:v>
                </c:pt>
                <c:pt idx="106">
                  <c:v>1.0000000000000001E-5</c:v>
                </c:pt>
                <c:pt idx="107">
                  <c:v>1.0000000000000001E-5</c:v>
                </c:pt>
                <c:pt idx="108">
                  <c:v>1.0000000000000001E-5</c:v>
                </c:pt>
                <c:pt idx="109">
                  <c:v>1.0000000000000001E-5</c:v>
                </c:pt>
                <c:pt idx="110">
                  <c:v>1.0000000000000001E-5</c:v>
                </c:pt>
                <c:pt idx="111">
                  <c:v>2.7714551213570311E-4</c:v>
                </c:pt>
                <c:pt idx="112">
                  <c:v>3.1673312162369596E-4</c:v>
                </c:pt>
                <c:pt idx="113">
                  <c:v>1.0000000000000001E-5</c:v>
                </c:pt>
                <c:pt idx="114">
                  <c:v>7.0001035314286872E-4</c:v>
                </c:pt>
                <c:pt idx="115">
                  <c:v>1.0000000000000001E-5</c:v>
                </c:pt>
                <c:pt idx="116">
                  <c:v>1.0000000000000001E-5</c:v>
                </c:pt>
                <c:pt idx="117">
                  <c:v>1.0000000000000001E-5</c:v>
                </c:pt>
                <c:pt idx="118">
                  <c:v>1.0000000000000001E-5</c:v>
                </c:pt>
                <c:pt idx="119">
                  <c:v>1.0000000000000001E-5</c:v>
                </c:pt>
                <c:pt idx="120">
                  <c:v>1.0000000000000001E-5</c:v>
                </c:pt>
                <c:pt idx="121">
                  <c:v>1.0000000000000001E-5</c:v>
                </c:pt>
                <c:pt idx="122">
                  <c:v>1.0000000000000001E-5</c:v>
                </c:pt>
                <c:pt idx="123">
                  <c:v>1.0000000000000001E-5</c:v>
                </c:pt>
                <c:pt idx="124">
                  <c:v>1.0000000000000001E-5</c:v>
                </c:pt>
              </c:numCache>
            </c:numRef>
          </c:yVal>
          <c:smooth val="1"/>
        </c:ser>
        <c:dLbls>
          <c:showLegendKey val="0"/>
          <c:showVal val="0"/>
          <c:showCatName val="0"/>
          <c:showSerName val="0"/>
          <c:showPercent val="0"/>
          <c:showBubbleSize val="0"/>
        </c:dLbls>
        <c:axId val="119481472"/>
        <c:axId val="119482048"/>
      </c:scatterChart>
      <c:scatterChart>
        <c:scatterStyle val="smoothMarker"/>
        <c:varyColors val="0"/>
        <c:ser>
          <c:idx val="1"/>
          <c:order val="1"/>
          <c:tx>
            <c:v>Photoconductance (Siemens)</c:v>
          </c:tx>
          <c:marker>
            <c:symbol val="none"/>
          </c:marker>
          <c:xVal>
            <c:numRef>
              <c:f>Calc!$A$9:$A$133</c:f>
              <c:numCache>
                <c:formatCode>0.00E+00</c:formatCode>
                <c:ptCount val="125"/>
                <c:pt idx="0">
                  <c:v>4.9920000000000003E-5</c:v>
                </c:pt>
                <c:pt idx="1">
                  <c:v>1.4992E-4</c:v>
                </c:pt>
                <c:pt idx="2">
                  <c:v>2.4991999999999999E-4</c:v>
                </c:pt>
                <c:pt idx="3">
                  <c:v>3.4991999999999998E-4</c:v>
                </c:pt>
                <c:pt idx="4">
                  <c:v>4.4991999999999997E-4</c:v>
                </c:pt>
                <c:pt idx="5">
                  <c:v>5.4991999999999997E-4</c:v>
                </c:pt>
                <c:pt idx="6">
                  <c:v>6.4992000000000001E-4</c:v>
                </c:pt>
                <c:pt idx="7">
                  <c:v>7.4991999999999995E-4</c:v>
                </c:pt>
                <c:pt idx="8">
                  <c:v>8.4991999999999999E-4</c:v>
                </c:pt>
                <c:pt idx="9">
                  <c:v>9.4992000000000004E-4</c:v>
                </c:pt>
                <c:pt idx="10">
                  <c:v>1.04992E-3</c:v>
                </c:pt>
                <c:pt idx="11">
                  <c:v>1.14992E-3</c:v>
                </c:pt>
                <c:pt idx="12">
                  <c:v>1.2499200000000001E-3</c:v>
                </c:pt>
                <c:pt idx="13">
                  <c:v>1.3499199999999999E-3</c:v>
                </c:pt>
                <c:pt idx="14">
                  <c:v>1.4499199999999999E-3</c:v>
                </c:pt>
                <c:pt idx="15">
                  <c:v>1.54992E-3</c:v>
                </c:pt>
                <c:pt idx="16">
                  <c:v>1.64992E-3</c:v>
                </c:pt>
                <c:pt idx="17">
                  <c:v>1.7499200000000001E-3</c:v>
                </c:pt>
                <c:pt idx="18">
                  <c:v>1.8499199999999999E-3</c:v>
                </c:pt>
                <c:pt idx="19">
                  <c:v>1.94992E-3</c:v>
                </c:pt>
                <c:pt idx="20">
                  <c:v>2.0499200000000002E-3</c:v>
                </c:pt>
                <c:pt idx="21">
                  <c:v>2.14992E-3</c:v>
                </c:pt>
                <c:pt idx="22">
                  <c:v>2.2499199999999999E-3</c:v>
                </c:pt>
                <c:pt idx="23">
                  <c:v>2.3499200000000001E-3</c:v>
                </c:pt>
                <c:pt idx="24">
                  <c:v>2.44992E-3</c:v>
                </c:pt>
                <c:pt idx="25">
                  <c:v>2.5499199999999998E-3</c:v>
                </c:pt>
                <c:pt idx="26">
                  <c:v>2.6499200000000001E-3</c:v>
                </c:pt>
                <c:pt idx="27">
                  <c:v>2.7499199999999999E-3</c:v>
                </c:pt>
                <c:pt idx="28">
                  <c:v>2.8499200000000001E-3</c:v>
                </c:pt>
                <c:pt idx="29">
                  <c:v>2.94992E-3</c:v>
                </c:pt>
                <c:pt idx="30">
                  <c:v>3.0499199999999998E-3</c:v>
                </c:pt>
                <c:pt idx="31">
                  <c:v>3.1499200000000001E-3</c:v>
                </c:pt>
                <c:pt idx="32">
                  <c:v>3.2499199999999999E-3</c:v>
                </c:pt>
                <c:pt idx="33">
                  <c:v>3.3499200000000002E-3</c:v>
                </c:pt>
                <c:pt idx="34">
                  <c:v>3.44992E-3</c:v>
                </c:pt>
                <c:pt idx="35">
                  <c:v>3.5499199999999998E-3</c:v>
                </c:pt>
                <c:pt idx="36">
                  <c:v>3.6499200000000001E-3</c:v>
                </c:pt>
                <c:pt idx="37">
                  <c:v>3.7499199999999999E-3</c:v>
                </c:pt>
                <c:pt idx="38">
                  <c:v>3.8499200000000002E-3</c:v>
                </c:pt>
                <c:pt idx="39">
                  <c:v>3.94992E-3</c:v>
                </c:pt>
                <c:pt idx="40">
                  <c:v>4.0499200000000003E-3</c:v>
                </c:pt>
                <c:pt idx="41">
                  <c:v>4.1499199999999997E-3</c:v>
                </c:pt>
                <c:pt idx="42">
                  <c:v>4.2499199999999999E-3</c:v>
                </c:pt>
                <c:pt idx="43">
                  <c:v>4.3499200000000002E-3</c:v>
                </c:pt>
                <c:pt idx="44">
                  <c:v>4.4499199999999996E-3</c:v>
                </c:pt>
                <c:pt idx="45">
                  <c:v>4.5499199999999998E-3</c:v>
                </c:pt>
                <c:pt idx="46">
                  <c:v>4.6499200000000001E-3</c:v>
                </c:pt>
                <c:pt idx="47">
                  <c:v>4.7499200000000004E-3</c:v>
                </c:pt>
                <c:pt idx="48">
                  <c:v>4.8499199999999998E-3</c:v>
                </c:pt>
                <c:pt idx="49">
                  <c:v>4.94992E-3</c:v>
                </c:pt>
                <c:pt idx="50">
                  <c:v>5.0499200000000003E-3</c:v>
                </c:pt>
                <c:pt idx="51">
                  <c:v>5.1499199999999997E-3</c:v>
                </c:pt>
                <c:pt idx="52">
                  <c:v>5.2499199999999999E-3</c:v>
                </c:pt>
                <c:pt idx="53">
                  <c:v>5.3499200000000002E-3</c:v>
                </c:pt>
                <c:pt idx="54">
                  <c:v>5.4499199999999996E-3</c:v>
                </c:pt>
                <c:pt idx="55">
                  <c:v>5.5499199999999999E-3</c:v>
                </c:pt>
                <c:pt idx="56">
                  <c:v>5.6499200000000001E-3</c:v>
                </c:pt>
                <c:pt idx="57">
                  <c:v>5.7499200000000004E-3</c:v>
                </c:pt>
                <c:pt idx="58">
                  <c:v>5.8499199999999998E-3</c:v>
                </c:pt>
                <c:pt idx="59">
                  <c:v>5.94992E-3</c:v>
                </c:pt>
                <c:pt idx="60">
                  <c:v>6.0499200000000003E-3</c:v>
                </c:pt>
                <c:pt idx="61">
                  <c:v>6.1499199999999997E-3</c:v>
                </c:pt>
                <c:pt idx="62">
                  <c:v>6.24992E-3</c:v>
                </c:pt>
                <c:pt idx="63">
                  <c:v>6.3499200000000002E-3</c:v>
                </c:pt>
                <c:pt idx="64">
                  <c:v>6.4499199999999996E-3</c:v>
                </c:pt>
                <c:pt idx="65">
                  <c:v>6.5499199999999999E-3</c:v>
                </c:pt>
                <c:pt idx="66">
                  <c:v>6.6499200000000001E-3</c:v>
                </c:pt>
                <c:pt idx="67">
                  <c:v>6.7499200000000004E-3</c:v>
                </c:pt>
                <c:pt idx="68">
                  <c:v>6.8499199999999998E-3</c:v>
                </c:pt>
                <c:pt idx="69">
                  <c:v>6.9499200000000001E-3</c:v>
                </c:pt>
                <c:pt idx="70">
                  <c:v>7.0499200000000003E-3</c:v>
                </c:pt>
                <c:pt idx="71">
                  <c:v>7.1499199999999997E-3</c:v>
                </c:pt>
                <c:pt idx="72">
                  <c:v>7.24992E-3</c:v>
                </c:pt>
                <c:pt idx="73">
                  <c:v>7.3499200000000002E-3</c:v>
                </c:pt>
                <c:pt idx="74">
                  <c:v>7.4499199999999996E-3</c:v>
                </c:pt>
                <c:pt idx="75">
                  <c:v>7.5499199999999999E-3</c:v>
                </c:pt>
                <c:pt idx="76">
                  <c:v>7.6499200000000002E-3</c:v>
                </c:pt>
                <c:pt idx="77">
                  <c:v>7.7499200000000004E-3</c:v>
                </c:pt>
                <c:pt idx="78">
                  <c:v>7.8499199999999998E-3</c:v>
                </c:pt>
                <c:pt idx="79">
                  <c:v>7.9499199999999992E-3</c:v>
                </c:pt>
                <c:pt idx="80">
                  <c:v>8.0499200000000003E-3</c:v>
                </c:pt>
                <c:pt idx="81">
                  <c:v>8.1499199999999997E-3</c:v>
                </c:pt>
                <c:pt idx="82">
                  <c:v>8.2499200000000009E-3</c:v>
                </c:pt>
                <c:pt idx="83">
                  <c:v>8.3499200000000003E-3</c:v>
                </c:pt>
                <c:pt idx="84">
                  <c:v>8.4499199999999997E-3</c:v>
                </c:pt>
                <c:pt idx="85">
                  <c:v>8.5499200000000008E-3</c:v>
                </c:pt>
                <c:pt idx="86">
                  <c:v>8.6499200000000002E-3</c:v>
                </c:pt>
                <c:pt idx="87">
                  <c:v>8.7499199999999996E-3</c:v>
                </c:pt>
                <c:pt idx="88">
                  <c:v>8.8499200000000007E-3</c:v>
                </c:pt>
                <c:pt idx="89">
                  <c:v>8.9499200000000001E-3</c:v>
                </c:pt>
                <c:pt idx="90">
                  <c:v>9.0499199999999995E-3</c:v>
                </c:pt>
                <c:pt idx="91">
                  <c:v>9.1499200000000006E-3</c:v>
                </c:pt>
                <c:pt idx="92">
                  <c:v>9.24992E-3</c:v>
                </c:pt>
                <c:pt idx="93">
                  <c:v>9.3499199999999994E-3</c:v>
                </c:pt>
                <c:pt idx="94">
                  <c:v>9.4499200000000005E-3</c:v>
                </c:pt>
                <c:pt idx="95">
                  <c:v>9.5499199999999999E-3</c:v>
                </c:pt>
                <c:pt idx="96">
                  <c:v>9.6499199999999993E-3</c:v>
                </c:pt>
                <c:pt idx="97">
                  <c:v>9.7499200000000005E-3</c:v>
                </c:pt>
                <c:pt idx="98">
                  <c:v>9.8499199999999999E-3</c:v>
                </c:pt>
                <c:pt idx="99">
                  <c:v>9.9499199999999993E-3</c:v>
                </c:pt>
                <c:pt idx="100">
                  <c:v>1.00499E-2</c:v>
                </c:pt>
                <c:pt idx="101">
                  <c:v>1.01499E-2</c:v>
                </c:pt>
                <c:pt idx="102">
                  <c:v>1.0249899999999999E-2</c:v>
                </c:pt>
                <c:pt idx="103">
                  <c:v>1.03499E-2</c:v>
                </c:pt>
                <c:pt idx="104">
                  <c:v>1.04499E-2</c:v>
                </c:pt>
                <c:pt idx="105">
                  <c:v>1.0549899999999999E-2</c:v>
                </c:pt>
                <c:pt idx="106">
                  <c:v>1.06499E-2</c:v>
                </c:pt>
                <c:pt idx="107">
                  <c:v>1.07499E-2</c:v>
                </c:pt>
                <c:pt idx="108">
                  <c:v>1.0849900000000001E-2</c:v>
                </c:pt>
                <c:pt idx="109">
                  <c:v>1.09499E-2</c:v>
                </c:pt>
                <c:pt idx="110">
                  <c:v>1.10499E-2</c:v>
                </c:pt>
                <c:pt idx="111">
                  <c:v>1.1149900000000001E-2</c:v>
                </c:pt>
                <c:pt idx="112">
                  <c:v>1.12499E-2</c:v>
                </c:pt>
                <c:pt idx="113">
                  <c:v>1.13499E-2</c:v>
                </c:pt>
                <c:pt idx="114">
                  <c:v>1.1449900000000001E-2</c:v>
                </c:pt>
                <c:pt idx="115">
                  <c:v>1.15499E-2</c:v>
                </c:pt>
                <c:pt idx="116">
                  <c:v>1.1649899999999999E-2</c:v>
                </c:pt>
                <c:pt idx="117">
                  <c:v>1.1749900000000001E-2</c:v>
                </c:pt>
                <c:pt idx="118">
                  <c:v>1.18499E-2</c:v>
                </c:pt>
                <c:pt idx="119">
                  <c:v>1.1949899999999999E-2</c:v>
                </c:pt>
                <c:pt idx="120">
                  <c:v>1.2049900000000001E-2</c:v>
                </c:pt>
                <c:pt idx="121">
                  <c:v>1.21499E-2</c:v>
                </c:pt>
                <c:pt idx="122">
                  <c:v>1.2249899999999999E-2</c:v>
                </c:pt>
                <c:pt idx="123">
                  <c:v>1.23499E-2</c:v>
                </c:pt>
                <c:pt idx="124">
                  <c:v>1.24499E-2</c:v>
                </c:pt>
              </c:numCache>
            </c:numRef>
          </c:xVal>
          <c:yVal>
            <c:numRef>
              <c:f>Calc!$F$9:$F$133</c:f>
              <c:numCache>
                <c:formatCode>0.000E+00</c:formatCode>
                <c:ptCount val="125"/>
                <c:pt idx="0">
                  <c:v>4.9766001573901333E-2</c:v>
                </c:pt>
                <c:pt idx="1">
                  <c:v>0.1433083420944499</c:v>
                </c:pt>
                <c:pt idx="2">
                  <c:v>0.10271664980282566</c:v>
                </c:pt>
                <c:pt idx="3">
                  <c:v>7.3857193609617539E-2</c:v>
                </c:pt>
                <c:pt idx="4">
                  <c:v>5.6938063087729668E-2</c:v>
                </c:pt>
                <c:pt idx="5">
                  <c:v>4.606539518335194E-2</c:v>
                </c:pt>
                <c:pt idx="6">
                  <c:v>3.8537455044555136E-2</c:v>
                </c:pt>
                <c:pt idx="7">
                  <c:v>3.3012636342588539E-2</c:v>
                </c:pt>
                <c:pt idx="8">
                  <c:v>2.8778849663560424E-2</c:v>
                </c:pt>
                <c:pt idx="9">
                  <c:v>2.5447859020269303E-2</c:v>
                </c:pt>
                <c:pt idx="10">
                  <c:v>2.2760650270463811E-2</c:v>
                </c:pt>
                <c:pt idx="11">
                  <c:v>2.0545969356716071E-2</c:v>
                </c:pt>
                <c:pt idx="12">
                  <c:v>1.8692638134298639E-2</c:v>
                </c:pt>
                <c:pt idx="13">
                  <c:v>1.7122186936535153E-2</c:v>
                </c:pt>
                <c:pt idx="14">
                  <c:v>1.577007932760284E-2</c:v>
                </c:pt>
                <c:pt idx="15">
                  <c:v>1.4604175697891686E-2</c:v>
                </c:pt>
                <c:pt idx="16">
                  <c:v>1.3575978192038332E-2</c:v>
                </c:pt>
                <c:pt idx="17">
                  <c:v>1.2672208187644224E-2</c:v>
                </c:pt>
                <c:pt idx="18">
                  <c:v>1.1863051714184919E-2</c:v>
                </c:pt>
                <c:pt idx="19">
                  <c:v>1.1143152651335281E-2</c:v>
                </c:pt>
                <c:pt idx="20">
                  <c:v>1.0492645742509382E-2</c:v>
                </c:pt>
                <c:pt idx="21">
                  <c:v>9.9055325620938522E-3</c:v>
                </c:pt>
                <c:pt idx="22">
                  <c:v>9.3710620368270131E-3</c:v>
                </c:pt>
                <c:pt idx="23">
                  <c:v>8.8885609704962287E-3</c:v>
                </c:pt>
                <c:pt idx="24">
                  <c:v>8.4398369704014459E-3</c:v>
                </c:pt>
                <c:pt idx="25">
                  <c:v>8.0285392348024842E-3</c:v>
                </c:pt>
                <c:pt idx="26">
                  <c:v>7.6535773233277343E-3</c:v>
                </c:pt>
                <c:pt idx="27">
                  <c:v>7.301230080045365E-3</c:v>
                </c:pt>
                <c:pt idx="28">
                  <c:v>6.9759896460917653E-3</c:v>
                </c:pt>
                <c:pt idx="29">
                  <c:v>6.6725657429353713E-3</c:v>
                </c:pt>
                <c:pt idx="30">
                  <c:v>6.3923067952042362E-3</c:v>
                </c:pt>
                <c:pt idx="31">
                  <c:v>6.1344251209760059E-3</c:v>
                </c:pt>
                <c:pt idx="32">
                  <c:v>5.8879094202560212E-3</c:v>
                </c:pt>
                <c:pt idx="33">
                  <c:v>5.6573921858431159E-3</c:v>
                </c:pt>
                <c:pt idx="34">
                  <c:v>5.4469344076208126E-3</c:v>
                </c:pt>
                <c:pt idx="35">
                  <c:v>5.2322903471480192E-3</c:v>
                </c:pt>
                <c:pt idx="36">
                  <c:v>5.0405100257432667E-3</c:v>
                </c:pt>
                <c:pt idx="37">
                  <c:v>4.8572174583548927E-3</c:v>
                </c:pt>
                <c:pt idx="38">
                  <c:v>4.6862743768710524E-3</c:v>
                </c:pt>
                <c:pt idx="39">
                  <c:v>4.5223166892246064E-3</c:v>
                </c:pt>
                <c:pt idx="40">
                  <c:v>4.3705649805305807E-3</c:v>
                </c:pt>
                <c:pt idx="41">
                  <c:v>4.2205519740126513E-3</c:v>
                </c:pt>
                <c:pt idx="42">
                  <c:v>4.0808662628745579E-3</c:v>
                </c:pt>
                <c:pt idx="43">
                  <c:v>3.9466871269198539E-3</c:v>
                </c:pt>
                <c:pt idx="44">
                  <c:v>3.8229656135832929E-3</c:v>
                </c:pt>
                <c:pt idx="45">
                  <c:v>3.7001068830693346E-3</c:v>
                </c:pt>
                <c:pt idx="46">
                  <c:v>3.5866019144966399E-3</c:v>
                </c:pt>
                <c:pt idx="47">
                  <c:v>3.4758989729374579E-3</c:v>
                </c:pt>
                <c:pt idx="48">
                  <c:v>3.3701766052384313E-3</c:v>
                </c:pt>
                <c:pt idx="49">
                  <c:v>3.2653357017373985E-3</c:v>
                </c:pt>
                <c:pt idx="50">
                  <c:v>3.1759855927918773E-3</c:v>
                </c:pt>
                <c:pt idx="51">
                  <c:v>3.0768187254735097E-3</c:v>
                </c:pt>
                <c:pt idx="52">
                  <c:v>2.9858312003517434E-3</c:v>
                </c:pt>
                <c:pt idx="53">
                  <c:v>2.900450751703032E-3</c:v>
                </c:pt>
                <c:pt idx="54">
                  <c:v>2.8137606808524424E-3</c:v>
                </c:pt>
                <c:pt idx="55">
                  <c:v>2.7366429553022792E-3</c:v>
                </c:pt>
                <c:pt idx="56">
                  <c:v>2.6612048014963141E-3</c:v>
                </c:pt>
                <c:pt idx="57">
                  <c:v>2.5850068832631995E-3</c:v>
                </c:pt>
                <c:pt idx="58">
                  <c:v>2.5122815228116047E-3</c:v>
                </c:pt>
                <c:pt idx="59">
                  <c:v>2.4463612863798861E-3</c:v>
                </c:pt>
                <c:pt idx="60">
                  <c:v>2.3786729624660358E-3</c:v>
                </c:pt>
                <c:pt idx="61">
                  <c:v>2.3161192445347034E-3</c:v>
                </c:pt>
                <c:pt idx="62">
                  <c:v>2.255885124158738E-3</c:v>
                </c:pt>
                <c:pt idx="63">
                  <c:v>2.1930738675364908E-3</c:v>
                </c:pt>
                <c:pt idx="64">
                  <c:v>2.1366597797887604E-3</c:v>
                </c:pt>
                <c:pt idx="65">
                  <c:v>2.0837112251496093E-3</c:v>
                </c:pt>
                <c:pt idx="66">
                  <c:v>2.0299058967269551E-3</c:v>
                </c:pt>
                <c:pt idx="67">
                  <c:v>1.9757522406223388E-3</c:v>
                </c:pt>
                <c:pt idx="68">
                  <c:v>1.9214618359078839E-3</c:v>
                </c:pt>
                <c:pt idx="69">
                  <c:v>1.8741023661733025E-3</c:v>
                </c:pt>
                <c:pt idx="70">
                  <c:v>1.8305739474780286E-3</c:v>
                </c:pt>
                <c:pt idx="71">
                  <c:v>1.7844579506439556E-3</c:v>
                </c:pt>
                <c:pt idx="72">
                  <c:v>1.7325587052937075E-3</c:v>
                </c:pt>
                <c:pt idx="73">
                  <c:v>1.6882734155907464E-3</c:v>
                </c:pt>
                <c:pt idx="74">
                  <c:v>1.6423729846068574E-3</c:v>
                </c:pt>
                <c:pt idx="75">
                  <c:v>1.6110791178726713E-3</c:v>
                </c:pt>
                <c:pt idx="76">
                  <c:v>1.5634268847724286E-3</c:v>
                </c:pt>
                <c:pt idx="77">
                  <c:v>1.5299474658360401E-3</c:v>
                </c:pt>
                <c:pt idx="78">
                  <c:v>1.4891221819962747E-3</c:v>
                </c:pt>
                <c:pt idx="79">
                  <c:v>1.4520966193733442E-3</c:v>
                </c:pt>
                <c:pt idx="80">
                  <c:v>1.4168488854188893E-3</c:v>
                </c:pt>
                <c:pt idx="81">
                  <c:v>1.378668488590612E-3</c:v>
                </c:pt>
                <c:pt idx="82">
                  <c:v>1.343113302304022E-3</c:v>
                </c:pt>
                <c:pt idx="83">
                  <c:v>1.3145488084723989E-3</c:v>
                </c:pt>
                <c:pt idx="84">
                  <c:v>1.282634943062369E-3</c:v>
                </c:pt>
                <c:pt idx="85">
                  <c:v>1.2550627122357993E-3</c:v>
                </c:pt>
                <c:pt idx="86">
                  <c:v>1.2172286866185683E-3</c:v>
                </c:pt>
                <c:pt idx="87">
                  <c:v>1.1964441837915979E-3</c:v>
                </c:pt>
                <c:pt idx="88">
                  <c:v>1.1609634636276511E-3</c:v>
                </c:pt>
                <c:pt idx="89">
                  <c:v>1.133282199015373E-3</c:v>
                </c:pt>
                <c:pt idx="90">
                  <c:v>1.1079533160077842E-3</c:v>
                </c:pt>
                <c:pt idx="91">
                  <c:v>1.078329718346524E-3</c:v>
                </c:pt>
                <c:pt idx="92">
                  <c:v>1.0535756745649189E-3</c:v>
                </c:pt>
                <c:pt idx="93">
                  <c:v>1.0274195452451979E-3</c:v>
                </c:pt>
                <c:pt idx="94">
                  <c:v>9.9827645213730609E-4</c:v>
                </c:pt>
                <c:pt idx="95">
                  <c:v>9.7748843647370298E-4</c:v>
                </c:pt>
                <c:pt idx="96">
                  <c:v>9.5492899693939981E-4</c:v>
                </c:pt>
                <c:pt idx="97">
                  <c:v>9.2996564684047489E-4</c:v>
                </c:pt>
                <c:pt idx="98">
                  <c:v>9.0665012590031291E-4</c:v>
                </c:pt>
                <c:pt idx="99">
                  <c:v>8.9034557874206888E-4</c:v>
                </c:pt>
                <c:pt idx="100">
                  <c:v>8.6018124754858039E-4</c:v>
                </c:pt>
                <c:pt idx="101">
                  <c:v>8.3867097158539516E-4</c:v>
                </c:pt>
                <c:pt idx="102">
                  <c:v>8.1807852235757372E-4</c:v>
                </c:pt>
                <c:pt idx="103">
                  <c:v>7.9422760900864364E-4</c:v>
                </c:pt>
                <c:pt idx="104">
                  <c:v>7.7142059892054693E-4</c:v>
                </c:pt>
                <c:pt idx="105">
                  <c:v>7.6123868222155444E-4</c:v>
                </c:pt>
                <c:pt idx="106">
                  <c:v>7.4081997597065519E-4</c:v>
                </c:pt>
                <c:pt idx="107">
                  <c:v>7.1844637080367701E-4</c:v>
                </c:pt>
                <c:pt idx="108">
                  <c:v>6.9913068852511806E-4</c:v>
                </c:pt>
                <c:pt idx="109">
                  <c:v>6.7957291881839965E-4</c:v>
                </c:pt>
                <c:pt idx="110">
                  <c:v>6.6449241100961787E-4</c:v>
                </c:pt>
                <c:pt idx="111">
                  <c:v>6.4875376891765368E-4</c:v>
                </c:pt>
                <c:pt idx="112">
                  <c:v>6.3337287808382103E-4</c:v>
                </c:pt>
                <c:pt idx="113">
                  <c:v>6.1533459032432625E-4</c:v>
                </c:pt>
                <c:pt idx="114">
                  <c:v>5.98283551206516E-4</c:v>
                </c:pt>
                <c:pt idx="115">
                  <c:v>5.8173374849500303E-4</c:v>
                </c:pt>
                <c:pt idx="116">
                  <c:v>5.6454069645942018E-4</c:v>
                </c:pt>
                <c:pt idx="117">
                  <c:v>5.4858933068605009E-4</c:v>
                </c:pt>
                <c:pt idx="118">
                  <c:v>5.3378585124909395E-4</c:v>
                </c:pt>
                <c:pt idx="119">
                  <c:v>5.1629338594706697E-4</c:v>
                </c:pt>
                <c:pt idx="120">
                  <c:v>5.0015954271254159E-4</c:v>
                </c:pt>
                <c:pt idx="121">
                  <c:v>4.8951617990838914E-4</c:v>
                </c:pt>
                <c:pt idx="122">
                  <c:v>4.8091272999767343E-4</c:v>
                </c:pt>
                <c:pt idx="123">
                  <c:v>4.6135372624361848E-4</c:v>
                </c:pt>
                <c:pt idx="124">
                  <c:v>4.4850803347391832E-4</c:v>
                </c:pt>
              </c:numCache>
            </c:numRef>
          </c:yVal>
          <c:smooth val="1"/>
        </c:ser>
        <c:dLbls>
          <c:showLegendKey val="0"/>
          <c:showVal val="0"/>
          <c:showCatName val="0"/>
          <c:showSerName val="0"/>
          <c:showPercent val="0"/>
          <c:showBubbleSize val="0"/>
        </c:dLbls>
        <c:axId val="119483200"/>
        <c:axId val="119482624"/>
      </c:scatterChart>
      <c:valAx>
        <c:axId val="119481472"/>
        <c:scaling>
          <c:orientation val="minMax"/>
          <c:min val="0"/>
        </c:scaling>
        <c:delete val="0"/>
        <c:axPos val="b"/>
        <c:title>
          <c:tx>
            <c:rich>
              <a:bodyPr/>
              <a:lstStyle/>
              <a:p>
                <a:pPr>
                  <a:defRPr sz="700"/>
                </a:pPr>
                <a:r>
                  <a:rPr lang="en-US" sz="700"/>
                  <a:t>Time (s)</a:t>
                </a:r>
              </a:p>
            </c:rich>
          </c:tx>
          <c:layout>
            <c:manualLayout>
              <c:xMode val="edge"/>
              <c:yMode val="edge"/>
              <c:x val="0.43219252093397381"/>
              <c:y val="0.8892561334286021"/>
            </c:manualLayout>
          </c:layout>
          <c:overlay val="0"/>
        </c:title>
        <c:numFmt formatCode="0.0E+00" sourceLinked="0"/>
        <c:majorTickMark val="cross"/>
        <c:minorTickMark val="none"/>
        <c:tickLblPos val="nextTo"/>
        <c:txPr>
          <a:bodyPr/>
          <a:lstStyle/>
          <a:p>
            <a:pPr>
              <a:defRPr sz="800"/>
            </a:pPr>
            <a:endParaRPr lang="en-US"/>
          </a:p>
        </c:txPr>
        <c:crossAx val="119482048"/>
        <c:crosses val="autoZero"/>
        <c:crossBetween val="midCat"/>
      </c:valAx>
      <c:valAx>
        <c:axId val="119482048"/>
        <c:scaling>
          <c:orientation val="minMax"/>
          <c:min val="0"/>
        </c:scaling>
        <c:delete val="0"/>
        <c:axPos val="l"/>
        <c:numFmt formatCode="0" sourceLinked="0"/>
        <c:majorTickMark val="in"/>
        <c:minorTickMark val="none"/>
        <c:tickLblPos val="nextTo"/>
        <c:spPr>
          <a:ln>
            <a:solidFill>
              <a:schemeClr val="accent1"/>
            </a:solidFill>
          </a:ln>
        </c:spPr>
        <c:txPr>
          <a:bodyPr/>
          <a:lstStyle/>
          <a:p>
            <a:pPr>
              <a:defRPr sz="700">
                <a:solidFill>
                  <a:schemeClr val="accent1">
                    <a:lumMod val="75000"/>
                  </a:schemeClr>
                </a:solidFill>
              </a:defRPr>
            </a:pPr>
            <a:endParaRPr lang="en-US"/>
          </a:p>
        </c:txPr>
        <c:crossAx val="119481472"/>
        <c:crosses val="autoZero"/>
        <c:crossBetween val="midCat"/>
      </c:valAx>
      <c:valAx>
        <c:axId val="119482624"/>
        <c:scaling>
          <c:orientation val="minMax"/>
          <c:min val="0"/>
        </c:scaling>
        <c:delete val="0"/>
        <c:axPos val="r"/>
        <c:numFmt formatCode="General" sourceLinked="0"/>
        <c:majorTickMark val="out"/>
        <c:minorTickMark val="none"/>
        <c:tickLblPos val="nextTo"/>
        <c:spPr>
          <a:ln>
            <a:solidFill>
              <a:schemeClr val="accent2"/>
            </a:solidFill>
          </a:ln>
        </c:spPr>
        <c:txPr>
          <a:bodyPr/>
          <a:lstStyle/>
          <a:p>
            <a:pPr>
              <a:defRPr sz="700">
                <a:solidFill>
                  <a:schemeClr val="accent2"/>
                </a:solidFill>
              </a:defRPr>
            </a:pPr>
            <a:endParaRPr lang="en-US"/>
          </a:p>
        </c:txPr>
        <c:crossAx val="119483200"/>
        <c:crosses val="max"/>
        <c:crossBetween val="midCat"/>
      </c:valAx>
      <c:valAx>
        <c:axId val="119483200"/>
        <c:scaling>
          <c:orientation val="minMax"/>
        </c:scaling>
        <c:delete val="1"/>
        <c:axPos val="b"/>
        <c:numFmt formatCode="0.00E+00" sourceLinked="1"/>
        <c:majorTickMark val="out"/>
        <c:minorTickMark val="none"/>
        <c:tickLblPos val="none"/>
        <c:crossAx val="119482624"/>
        <c:crosses val="autoZero"/>
        <c:crossBetween val="midCat"/>
      </c:valAx>
    </c:plotArea>
    <c:legend>
      <c:legendPos val="r"/>
      <c:layout>
        <c:manualLayout>
          <c:xMode val="edge"/>
          <c:yMode val="edge"/>
          <c:x val="0.19890911565945296"/>
          <c:y val="7.7206028856852973E-2"/>
          <c:w val="0.56643909140126703"/>
          <c:h val="0.34302074297047203"/>
        </c:manualLayout>
      </c:layout>
      <c:overlay val="0"/>
      <c:txPr>
        <a:bodyPr/>
        <a:lstStyle/>
        <a:p>
          <a:pPr>
            <a:defRPr sz="700"/>
          </a:pPr>
          <a:endParaRPr lang="en-US"/>
        </a:p>
      </c:txPr>
    </c:legend>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6.emf"/><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image" Target="../media/image6.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11</xdr:col>
      <xdr:colOff>0</xdr:colOff>
      <xdr:row>4</xdr:row>
      <xdr:rowOff>1</xdr:rowOff>
    </xdr:from>
    <xdr:to>
      <xdr:col>13</xdr:col>
      <xdr:colOff>444500</xdr:colOff>
      <xdr:row>6</xdr:row>
      <xdr:rowOff>0</xdr:rowOff>
    </xdr:to>
    <xdr:sp macro="" textlink="" fLocksText="0">
      <xdr:nvSpPr>
        <xdr:cNvPr id="51234" name="Text Box 34"/>
        <xdr:cNvSpPr txBox="1">
          <a:spLocks noChangeArrowheads="1"/>
        </xdr:cNvSpPr>
      </xdr:nvSpPr>
      <xdr:spPr bwMode="auto">
        <a:xfrm>
          <a:off x="10858500" y="772584"/>
          <a:ext cx="2021417" cy="645583"/>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Space for User Comments</a:t>
          </a:r>
        </a:p>
      </xdr:txBody>
    </xdr:sp>
    <xdr:clientData/>
  </xdr:twoCellAnchor>
  <xdr:twoCellAnchor editAs="absolute">
    <xdr:from>
      <xdr:col>8</xdr:col>
      <xdr:colOff>455361</xdr:colOff>
      <xdr:row>0</xdr:row>
      <xdr:rowOff>42331</xdr:rowOff>
    </xdr:from>
    <xdr:to>
      <xdr:col>9</xdr:col>
      <xdr:colOff>785332</xdr:colOff>
      <xdr:row>2</xdr:row>
      <xdr:rowOff>168219</xdr:rowOff>
    </xdr:to>
    <xdr:pic>
      <xdr:nvPicPr>
        <xdr:cNvPr id="9" name="SintonLogo"/>
        <xdr:cNvPicPr>
          <a:picLocks noChangeAspect="1" noChangeArrowheads="1"/>
        </xdr:cNvPicPr>
      </xdr:nvPicPr>
      <xdr:blipFill>
        <a:blip xmlns:r="http://schemas.openxmlformats.org/officeDocument/2006/relationships" r:embed="rId1" cstate="print"/>
        <a:srcRect/>
        <a:stretch>
          <a:fillRect/>
        </a:stretch>
      </xdr:blipFill>
      <xdr:spPr bwMode="auto">
        <a:xfrm>
          <a:off x="8453159" y="42331"/>
          <a:ext cx="1377721" cy="520495"/>
        </a:xfrm>
        <a:prstGeom prst="rect">
          <a:avLst/>
        </a:prstGeom>
        <a:noFill/>
      </xdr:spPr>
    </xdr:pic>
    <xdr:clientData/>
  </xdr:twoCellAnchor>
  <xdr:twoCellAnchor editAs="absolute">
    <xdr:from>
      <xdr:col>0</xdr:col>
      <xdr:colOff>0</xdr:colOff>
      <xdr:row>10</xdr:row>
      <xdr:rowOff>140074</xdr:rowOff>
    </xdr:from>
    <xdr:to>
      <xdr:col>5</xdr:col>
      <xdr:colOff>823912</xdr:colOff>
      <xdr:row>32</xdr:row>
      <xdr:rowOff>141755</xdr:rowOff>
    </xdr:to>
    <xdr:graphicFrame macro="">
      <xdr:nvGraphicFramePr>
        <xdr:cNvPr id="6" name="LightandPC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5</xdr:col>
      <xdr:colOff>822388</xdr:colOff>
      <xdr:row>11</xdr:row>
      <xdr:rowOff>2802</xdr:rowOff>
    </xdr:from>
    <xdr:to>
      <xdr:col>12</xdr:col>
      <xdr:colOff>116492</xdr:colOff>
      <xdr:row>32</xdr:row>
      <xdr:rowOff>150895</xdr:rowOff>
    </xdr:to>
    <xdr:graphicFrame macro="">
      <xdr:nvGraphicFramePr>
        <xdr:cNvPr id="7" name="InvLifetime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0</xdr:colOff>
      <xdr:row>32</xdr:row>
      <xdr:rowOff>147156</xdr:rowOff>
    </xdr:from>
    <xdr:to>
      <xdr:col>5</xdr:col>
      <xdr:colOff>823912</xdr:colOff>
      <xdr:row>54</xdr:row>
      <xdr:rowOff>137630</xdr:rowOff>
    </xdr:to>
    <xdr:graphicFrame macro="">
      <xdr:nvGraphicFramePr>
        <xdr:cNvPr id="8" name="ImpliedV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813822</xdr:colOff>
      <xdr:row>32</xdr:row>
      <xdr:rowOff>142178</xdr:rowOff>
    </xdr:from>
    <xdr:to>
      <xdr:col>12</xdr:col>
      <xdr:colOff>106731</xdr:colOff>
      <xdr:row>54</xdr:row>
      <xdr:rowOff>132652</xdr:rowOff>
    </xdr:to>
    <xdr:graphicFrame macro="">
      <xdr:nvGraphicFramePr>
        <xdr:cNvPr id="10" name="Lifetime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724693</xdr:colOff>
      <xdr:row>11</xdr:row>
      <xdr:rowOff>2644</xdr:rowOff>
    </xdr:from>
    <xdr:to>
      <xdr:col>8</xdr:col>
      <xdr:colOff>438943</xdr:colOff>
      <xdr:row>32</xdr:row>
      <xdr:rowOff>10847</xdr:rowOff>
    </xdr:to>
    <xdr:graphicFrame macro="">
      <xdr:nvGraphicFramePr>
        <xdr:cNvPr id="51287" name="RawVoltageGraph"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mc:AlternateContent xmlns:mc="http://schemas.openxmlformats.org/markup-compatibility/2006">
    <mc:Choice xmlns:a14="http://schemas.microsoft.com/office/drawing/2010/main" Requires="a14">
      <xdr:twoCellAnchor editAs="absolute">
        <xdr:from>
          <xdr:col>0</xdr:col>
          <xdr:colOff>47625</xdr:colOff>
          <xdr:row>0</xdr:row>
          <xdr:rowOff>38100</xdr:rowOff>
        </xdr:from>
        <xdr:to>
          <xdr:col>1</xdr:col>
          <xdr:colOff>542925</xdr:colOff>
          <xdr:row>2</xdr:row>
          <xdr:rowOff>152400</xdr:rowOff>
        </xdr:to>
        <xdr:sp macro="" textlink="">
          <xdr:nvSpPr>
            <xdr:cNvPr id="51295" name="ZeroInstrumentButton" hidden="1">
              <a:extLst>
                <a:ext uri="{63B3BB69-23CF-44E3-9099-C40C66FF867C}">
                  <a14:compatExt spid="_x0000_s5129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571500</xdr:colOff>
          <xdr:row>0</xdr:row>
          <xdr:rowOff>38100</xdr:rowOff>
        </xdr:from>
        <xdr:to>
          <xdr:col>3</xdr:col>
          <xdr:colOff>161925</xdr:colOff>
          <xdr:row>2</xdr:row>
          <xdr:rowOff>152400</xdr:rowOff>
        </xdr:to>
        <xdr:sp macro="" textlink="">
          <xdr:nvSpPr>
            <xdr:cNvPr id="51296" name="MeasureButton" hidden="1">
              <a:extLst>
                <a:ext uri="{63B3BB69-23CF-44E3-9099-C40C66FF867C}">
                  <a14:compatExt spid="_x0000_s5129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38100</xdr:rowOff>
        </xdr:from>
        <xdr:to>
          <xdr:col>4</xdr:col>
          <xdr:colOff>847725</xdr:colOff>
          <xdr:row>2</xdr:row>
          <xdr:rowOff>152400</xdr:rowOff>
        </xdr:to>
        <xdr:sp macro="" textlink="">
          <xdr:nvSpPr>
            <xdr:cNvPr id="51298" name="LogToSummaryButton" hidden="1">
              <a:extLst>
                <a:ext uri="{63B3BB69-23CF-44E3-9099-C40C66FF867C}">
                  <a14:compatExt spid="_x0000_s5129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11</xdr:row>
          <xdr:rowOff>28575</xdr:rowOff>
        </xdr:from>
        <xdr:to>
          <xdr:col>13</xdr:col>
          <xdr:colOff>104775</xdr:colOff>
          <xdr:row>13</xdr:row>
          <xdr:rowOff>104775</xdr:rowOff>
        </xdr:to>
        <xdr:sp macro="" textlink="">
          <xdr:nvSpPr>
            <xdr:cNvPr id="51299" name="Button 99" hidden="1">
              <a:extLst>
                <a:ext uri="{63B3BB69-23CF-44E3-9099-C40C66FF867C}">
                  <a14:compatExt spid="_x0000_s512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Rescale Graph</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190500</xdr:colOff>
          <xdr:row>33</xdr:row>
          <xdr:rowOff>28575</xdr:rowOff>
        </xdr:from>
        <xdr:to>
          <xdr:col>13</xdr:col>
          <xdr:colOff>85725</xdr:colOff>
          <xdr:row>35</xdr:row>
          <xdr:rowOff>114300</xdr:rowOff>
        </xdr:to>
        <xdr:sp macro="" textlink="">
          <xdr:nvSpPr>
            <xdr:cNvPr id="51300" name="Button 100" hidden="1">
              <a:extLst>
                <a:ext uri="{63B3BB69-23CF-44E3-9099-C40C66FF867C}">
                  <a14:compatExt spid="_x0000_s513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Rescale Graph</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876300</xdr:colOff>
          <xdr:row>0</xdr:row>
          <xdr:rowOff>38100</xdr:rowOff>
        </xdr:from>
        <xdr:to>
          <xdr:col>6</xdr:col>
          <xdr:colOff>695325</xdr:colOff>
          <xdr:row>2</xdr:row>
          <xdr:rowOff>152400</xdr:rowOff>
        </xdr:to>
        <xdr:sp macro="" textlink="">
          <xdr:nvSpPr>
            <xdr:cNvPr id="51301" name="SaveGraphtoTextButton" hidden="1">
              <a:extLst>
                <a:ext uri="{63B3BB69-23CF-44E3-9099-C40C66FF867C}">
                  <a14:compatExt spid="_x0000_s5130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714375</xdr:colOff>
          <xdr:row>0</xdr:row>
          <xdr:rowOff>28575</xdr:rowOff>
        </xdr:from>
        <xdr:to>
          <xdr:col>8</xdr:col>
          <xdr:colOff>390525</xdr:colOff>
          <xdr:row>2</xdr:row>
          <xdr:rowOff>142875</xdr:rowOff>
        </xdr:to>
        <xdr:sp macro="" textlink="">
          <xdr:nvSpPr>
            <xdr:cNvPr id="51315" name="GenerateReportButton" hidden="1">
              <a:extLst>
                <a:ext uri="{63B3BB69-23CF-44E3-9099-C40C66FF867C}">
                  <a14:compatExt spid="_x0000_s51315"/>
                </a:ext>
              </a:extLst>
            </xdr:cNvPr>
            <xdr:cNvSpPr/>
          </xdr:nvSpPr>
          <xdr:spPr>
            <a:xfrm>
              <a:off x="0" y="0"/>
              <a:ext cx="0" cy="0"/>
            </a:xfrm>
            <a:prstGeom prst="rect">
              <a:avLst/>
            </a:prstGeom>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9525</xdr:colOff>
      <xdr:row>4</xdr:row>
      <xdr:rowOff>38100</xdr:rowOff>
    </xdr:from>
    <xdr:to>
      <xdr:col>6</xdr:col>
      <xdr:colOff>514350</xdr:colOff>
      <xdr:row>4</xdr:row>
      <xdr:rowOff>38100</xdr:rowOff>
    </xdr:to>
    <xdr:cxnSp macro="">
      <xdr:nvCxnSpPr>
        <xdr:cNvPr id="6" name="Straight Connector 5"/>
        <xdr:cNvCxnSpPr/>
      </xdr:nvCxnSpPr>
      <xdr:spPr bwMode="auto">
        <a:xfrm>
          <a:off x="9525" y="657225"/>
          <a:ext cx="6048375" cy="0"/>
        </a:xfrm>
        <a:prstGeom prst="line">
          <a:avLst/>
        </a:prstGeom>
        <a:ln w="38100">
          <a:solidFill>
            <a:srgbClr val="F0D54B"/>
          </a:solidFill>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47625</xdr:colOff>
      <xdr:row>46</xdr:row>
      <xdr:rowOff>76200</xdr:rowOff>
    </xdr:from>
    <xdr:to>
      <xdr:col>6</xdr:col>
      <xdr:colOff>419100</xdr:colOff>
      <xdr:row>46</xdr:row>
      <xdr:rowOff>104776</xdr:rowOff>
    </xdr:to>
    <xdr:cxnSp macro="">
      <xdr:nvCxnSpPr>
        <xdr:cNvPr id="7" name="Straight Connector 6"/>
        <xdr:cNvCxnSpPr/>
      </xdr:nvCxnSpPr>
      <xdr:spPr bwMode="auto">
        <a:xfrm flipV="1">
          <a:off x="47625" y="8420100"/>
          <a:ext cx="5915025" cy="28576"/>
        </a:xfrm>
        <a:prstGeom prst="line">
          <a:avLst/>
        </a:prstGeom>
        <a:ln w="38100">
          <a:solidFill>
            <a:srgbClr val="F0D54B"/>
          </a:solidFill>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85725</xdr:colOff>
      <xdr:row>46</xdr:row>
      <xdr:rowOff>123825</xdr:rowOff>
    </xdr:from>
    <xdr:to>
      <xdr:col>6</xdr:col>
      <xdr:colOff>428624</xdr:colOff>
      <xdr:row>48</xdr:row>
      <xdr:rowOff>85725</xdr:rowOff>
    </xdr:to>
    <xdr:sp macro="" textlink="">
      <xdr:nvSpPr>
        <xdr:cNvPr id="8" name="TextBox 7"/>
        <xdr:cNvSpPr txBox="1"/>
      </xdr:nvSpPr>
      <xdr:spPr>
        <a:xfrm>
          <a:off x="85725" y="8467725"/>
          <a:ext cx="5886449"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800">
              <a:solidFill>
                <a:schemeClr val="dk1"/>
              </a:solidFill>
              <a:effectLst/>
              <a:latin typeface="Arial" pitchFamily="34" charset="0"/>
              <a:ea typeface="+mn-ea"/>
              <a:cs typeface="Arial" pitchFamily="34" charset="0"/>
            </a:rPr>
            <a:t>4720 Walnut Street, Suite 102, Boulder, CO 80301 USA  •  +1 303.945.2113  •  www.sintoninstruments.com</a:t>
          </a:r>
        </a:p>
        <a:p>
          <a:endParaRPr lang="en-US" sz="1200"/>
        </a:p>
      </xdr:txBody>
    </xdr:sp>
    <xdr:clientData/>
  </xdr:twoCellAnchor>
  <xdr:twoCellAnchor editAs="absolute">
    <xdr:from>
      <xdr:col>0</xdr:col>
      <xdr:colOff>19050</xdr:colOff>
      <xdr:row>0</xdr:row>
      <xdr:rowOff>0</xdr:rowOff>
    </xdr:from>
    <xdr:to>
      <xdr:col>1</xdr:col>
      <xdr:colOff>1400175</xdr:colOff>
      <xdr:row>4</xdr:row>
      <xdr:rowOff>4898</xdr:rowOff>
    </xdr:to>
    <xdr:pic>
      <xdr:nvPicPr>
        <xdr:cNvPr id="11" name="SintonLogo"/>
        <xdr:cNvPicPr>
          <a:picLocks noChangeAspect="1" noChangeArrowheads="1"/>
        </xdr:cNvPicPr>
      </xdr:nvPicPr>
      <xdr:blipFill>
        <a:blip xmlns:r="http://schemas.openxmlformats.org/officeDocument/2006/relationships" r:embed="rId1" cstate="print"/>
        <a:srcRect/>
        <a:stretch>
          <a:fillRect/>
        </a:stretch>
      </xdr:blipFill>
      <xdr:spPr bwMode="auto">
        <a:xfrm>
          <a:off x="19050" y="0"/>
          <a:ext cx="1666875" cy="624023"/>
        </a:xfrm>
        <a:prstGeom prst="rect">
          <a:avLst/>
        </a:prstGeom>
        <a:noFill/>
      </xdr:spPr>
    </xdr:pic>
    <xdr:clientData/>
  </xdr:twoCellAnchor>
  <xdr:twoCellAnchor>
    <xdr:from>
      <xdr:col>1</xdr:col>
      <xdr:colOff>1952625</xdr:colOff>
      <xdr:row>29</xdr:row>
      <xdr:rowOff>9525</xdr:rowOff>
    </xdr:from>
    <xdr:to>
      <xdr:col>1</xdr:col>
      <xdr:colOff>2209800</xdr:colOff>
      <xdr:row>30</xdr:row>
      <xdr:rowOff>9525</xdr:rowOff>
    </xdr:to>
    <xdr:sp macro="" textlink="">
      <xdr:nvSpPr>
        <xdr:cNvPr id="12" name="Rectangle 11"/>
        <xdr:cNvSpPr/>
      </xdr:nvSpPr>
      <xdr:spPr bwMode="auto">
        <a:xfrm>
          <a:off x="2238375" y="4400550"/>
          <a:ext cx="257175" cy="152400"/>
        </a:xfrm>
        <a:prstGeom prst="rect">
          <a:avLst/>
        </a:prstGeom>
        <a:noFill/>
        <a:ln w="1270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1</xdr:col>
      <xdr:colOff>1952625</xdr:colOff>
      <xdr:row>27</xdr:row>
      <xdr:rowOff>9525</xdr:rowOff>
    </xdr:from>
    <xdr:to>
      <xdr:col>1</xdr:col>
      <xdr:colOff>2209800</xdr:colOff>
      <xdr:row>28</xdr:row>
      <xdr:rowOff>9525</xdr:rowOff>
    </xdr:to>
    <xdr:sp macro="" textlink="">
      <xdr:nvSpPr>
        <xdr:cNvPr id="13" name="Rectangle 12"/>
        <xdr:cNvSpPr/>
      </xdr:nvSpPr>
      <xdr:spPr bwMode="auto">
        <a:xfrm>
          <a:off x="2238375" y="4095750"/>
          <a:ext cx="257175" cy="152400"/>
        </a:xfrm>
        <a:prstGeom prst="rect">
          <a:avLst/>
        </a:prstGeom>
        <a:noFill/>
        <a:ln w="1270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1</xdr:col>
      <xdr:colOff>1952625</xdr:colOff>
      <xdr:row>28</xdr:row>
      <xdr:rowOff>9525</xdr:rowOff>
    </xdr:from>
    <xdr:to>
      <xdr:col>1</xdr:col>
      <xdr:colOff>2209800</xdr:colOff>
      <xdr:row>29</xdr:row>
      <xdr:rowOff>9525</xdr:rowOff>
    </xdr:to>
    <xdr:sp macro="" textlink="">
      <xdr:nvSpPr>
        <xdr:cNvPr id="14" name="Rectangle 13"/>
        <xdr:cNvSpPr/>
      </xdr:nvSpPr>
      <xdr:spPr bwMode="auto">
        <a:xfrm>
          <a:off x="2238375" y="4248150"/>
          <a:ext cx="257175" cy="152400"/>
        </a:xfrm>
        <a:prstGeom prst="rect">
          <a:avLst/>
        </a:prstGeom>
        <a:noFill/>
        <a:ln w="1270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2</xdr:col>
      <xdr:colOff>723898</xdr:colOff>
      <xdr:row>37</xdr:row>
      <xdr:rowOff>152399</xdr:rowOff>
    </xdr:from>
    <xdr:to>
      <xdr:col>5</xdr:col>
      <xdr:colOff>609599</xdr:colOff>
      <xdr:row>38</xdr:row>
      <xdr:rowOff>1323974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T136"/>
  <sheetViews>
    <sheetView showGridLines="0" topLeftCell="A4" zoomScale="85" zoomScaleNormal="85" workbookViewId="0">
      <selection activeCell="A6" sqref="A6"/>
    </sheetView>
  </sheetViews>
  <sheetFormatPr defaultRowHeight="12.75" x14ac:dyDescent="0.2"/>
  <cols>
    <col min="1" max="1" width="17.28515625" style="1" customWidth="1"/>
    <col min="2" max="2" width="14.85546875" style="1" customWidth="1"/>
    <col min="3" max="3" width="16" style="1" customWidth="1"/>
    <col min="4" max="4" width="14.85546875" style="1" customWidth="1"/>
    <col min="5" max="6" width="13.7109375" style="1" customWidth="1"/>
    <col min="7" max="7" width="13.42578125" style="1" customWidth="1"/>
    <col min="8" max="8" width="16.140625" style="1" customWidth="1"/>
    <col min="9" max="9" width="15.7109375" style="1" customWidth="1"/>
    <col min="10" max="11" width="14.140625" style="1" customWidth="1"/>
    <col min="12" max="12" width="12.42578125" style="1" customWidth="1"/>
    <col min="13" max="13" width="11.28515625" style="1" customWidth="1"/>
    <col min="14" max="14" width="9.28515625" style="1" bestFit="1" customWidth="1"/>
    <col min="15" max="15" width="10.5703125" style="1" bestFit="1" customWidth="1"/>
    <col min="16" max="16384" width="9.140625" style="1"/>
  </cols>
  <sheetData>
    <row r="1" spans="1:20" ht="15.75" customHeight="1" x14ac:dyDescent="0.25">
      <c r="C1" s="3"/>
      <c r="E1" s="17"/>
      <c r="K1" s="22" t="s">
        <v>140</v>
      </c>
      <c r="R1" s="17"/>
    </row>
    <row r="2" spans="1:20" s="5" customFormat="1" ht="15" customHeight="1" x14ac:dyDescent="0.2">
      <c r="A2" s="4"/>
      <c r="B2" s="4"/>
      <c r="C2" s="24"/>
      <c r="D2" s="4"/>
      <c r="E2" s="4"/>
      <c r="F2" s="4"/>
      <c r="G2" s="4"/>
      <c r="H2" s="4"/>
      <c r="K2" s="31" t="s">
        <v>48</v>
      </c>
      <c r="L2" s="196" t="s">
        <v>331</v>
      </c>
      <c r="M2" s="10" t="s">
        <v>333</v>
      </c>
      <c r="O2" s="9"/>
      <c r="P2" s="4"/>
      <c r="Q2" s="4"/>
      <c r="R2" s="4"/>
      <c r="S2" s="4"/>
    </row>
    <row r="3" spans="1:20" s="5" customFormat="1" ht="15" customHeight="1" x14ac:dyDescent="0.2">
      <c r="A3" s="6"/>
      <c r="B3" s="7"/>
      <c r="C3" s="12"/>
      <c r="D3" s="8"/>
      <c r="E3" s="8"/>
      <c r="F3" s="8"/>
      <c r="G3" s="25"/>
      <c r="H3" s="4"/>
      <c r="M3" s="4"/>
      <c r="N3" s="4"/>
      <c r="P3" s="4"/>
      <c r="Q3" s="4"/>
      <c r="R3" s="4"/>
      <c r="S3" s="4"/>
    </row>
    <row r="4" spans="1:20" s="5" customFormat="1" ht="15" customHeight="1" x14ac:dyDescent="0.25">
      <c r="A4" s="191" t="s">
        <v>138</v>
      </c>
      <c r="B4" s="191"/>
      <c r="C4" s="192"/>
      <c r="D4" s="191"/>
      <c r="E4" s="191" t="s">
        <v>13</v>
      </c>
      <c r="F4" s="191"/>
      <c r="G4" s="191"/>
      <c r="I4" s="191" t="s">
        <v>141</v>
      </c>
      <c r="J4" s="193"/>
      <c r="K4" s="193"/>
      <c r="M4" s="9"/>
      <c r="O4" s="9"/>
      <c r="P4" s="9"/>
      <c r="Q4" s="11"/>
      <c r="R4" s="4"/>
      <c r="S4" s="4"/>
    </row>
    <row r="5" spans="1:20" ht="35.25" customHeight="1" x14ac:dyDescent="0.25">
      <c r="A5" s="184" t="s">
        <v>14</v>
      </c>
      <c r="B5" s="185" t="s">
        <v>139</v>
      </c>
      <c r="C5" s="185" t="s">
        <v>143</v>
      </c>
      <c r="D5" s="186" t="s">
        <v>259</v>
      </c>
      <c r="E5" s="184" t="s">
        <v>20</v>
      </c>
      <c r="F5" s="185" t="s">
        <v>244</v>
      </c>
      <c r="G5" s="202" t="s">
        <v>152</v>
      </c>
      <c r="H5" s="203" t="s">
        <v>137</v>
      </c>
      <c r="I5" s="185" t="s">
        <v>15</v>
      </c>
      <c r="J5" s="185" t="s">
        <v>19</v>
      </c>
      <c r="K5" s="185" t="s">
        <v>22</v>
      </c>
      <c r="L5" s="265"/>
      <c r="M5" s="266"/>
      <c r="N5" s="266"/>
      <c r="O5" s="5"/>
      <c r="P5" s="5"/>
      <c r="Q5" s="11"/>
      <c r="R5" s="4"/>
      <c r="S5" s="4"/>
      <c r="T5" s="5"/>
    </row>
    <row r="6" spans="1:20" s="15" customFormat="1" ht="15.75" customHeight="1" x14ac:dyDescent="0.25">
      <c r="A6" s="177" t="s">
        <v>356</v>
      </c>
      <c r="B6" s="178">
        <v>0.05</v>
      </c>
      <c r="C6" s="179">
        <v>100</v>
      </c>
      <c r="D6" s="180" t="s">
        <v>26</v>
      </c>
      <c r="E6" s="181">
        <v>0.96</v>
      </c>
      <c r="F6" s="182">
        <v>1000000000000000</v>
      </c>
      <c r="G6" s="218">
        <v>0</v>
      </c>
      <c r="H6" s="210" t="s">
        <v>65</v>
      </c>
      <c r="I6" s="204">
        <f>MeasDate</f>
        <v>41459</v>
      </c>
      <c r="J6" s="183">
        <f>MeasTime</f>
        <v>0.37710648148148151</v>
      </c>
      <c r="K6" s="221" t="s">
        <v>355</v>
      </c>
      <c r="L6" s="265"/>
      <c r="M6" s="266"/>
      <c r="N6" s="266"/>
      <c r="O6" s="14"/>
      <c r="P6" s="14"/>
      <c r="Q6" s="5"/>
      <c r="R6" s="14"/>
      <c r="S6" s="13"/>
      <c r="T6" s="14"/>
    </row>
    <row r="7" spans="1:20" ht="18.75" customHeight="1" x14ac:dyDescent="0.25">
      <c r="A7" s="191" t="s">
        <v>23</v>
      </c>
      <c r="B7" s="191"/>
      <c r="C7" s="9"/>
      <c r="D7" s="10"/>
      <c r="E7" s="20"/>
      <c r="F7" s="21"/>
      <c r="G7" s="10" t="s">
        <v>256</v>
      </c>
      <c r="H7" s="9"/>
      <c r="I7" s="9"/>
      <c r="J7" s="10"/>
      <c r="K7" s="200"/>
      <c r="L7" s="191" t="s">
        <v>243</v>
      </c>
      <c r="N7" s="9"/>
      <c r="O7" s="4"/>
      <c r="P7" s="4"/>
      <c r="Q7" s="4"/>
      <c r="R7" s="4"/>
      <c r="S7" s="4"/>
      <c r="T7" s="5"/>
    </row>
    <row r="8" spans="1:20" ht="49.5" customHeight="1" x14ac:dyDescent="0.25">
      <c r="A8" s="184" t="s">
        <v>25</v>
      </c>
      <c r="B8" s="185" t="s">
        <v>245</v>
      </c>
      <c r="C8" s="185" t="s">
        <v>246</v>
      </c>
      <c r="D8" s="185" t="s">
        <v>247</v>
      </c>
      <c r="E8" s="185" t="s">
        <v>260</v>
      </c>
      <c r="F8" s="185" t="s">
        <v>248</v>
      </c>
      <c r="G8" s="185" t="s">
        <v>249</v>
      </c>
      <c r="H8" s="185" t="s">
        <v>250</v>
      </c>
      <c r="I8" s="185" t="s">
        <v>251</v>
      </c>
      <c r="J8" s="185" t="s">
        <v>252</v>
      </c>
      <c r="K8" s="220" t="s">
        <v>267</v>
      </c>
      <c r="L8" s="267" t="str">
        <f ca="1">RefCellErrorMsg&amp;MCDErrorMsg&amp;LightBiasErrorMsg&amp;AirVoltageError</f>
        <v xml:space="preserve">  Remove Sample From Stage and Re-Zero Instrument  </v>
      </c>
      <c r="M8" s="268"/>
      <c r="N8" s="269"/>
      <c r="O8" s="4"/>
      <c r="P8" s="4"/>
      <c r="Q8" s="4"/>
      <c r="R8" s="4"/>
      <c r="S8" s="4"/>
      <c r="T8" s="5"/>
    </row>
    <row r="9" spans="1:20" s="15" customFormat="1" ht="17.25" customHeight="1" x14ac:dyDescent="0.25">
      <c r="A9" s="187">
        <f ca="1">MeasuredLifetime</f>
        <v>1327.9461994135909</v>
      </c>
      <c r="B9" s="188">
        <f>SheetResistance</f>
        <v>14.83350947029877</v>
      </c>
      <c r="C9" s="189">
        <f>MeasuredResistivity</f>
        <v>0.74167547351493857</v>
      </c>
      <c r="D9" s="234">
        <f ca="1">Jo</f>
        <v>3.4705416346727559E-13</v>
      </c>
      <c r="E9" s="188">
        <f ca="1">TauFitIntercept</f>
        <v>7160.2103210747828</v>
      </c>
      <c r="F9" s="190">
        <f>MinApparentCD</f>
        <v>31212166970794.332</v>
      </c>
      <c r="G9" s="190">
        <f>MaxApparentCD</f>
        <v>1.1361453349339568E+16</v>
      </c>
      <c r="H9" s="190">
        <f>BiasPtCD</f>
        <v>0</v>
      </c>
      <c r="I9" s="190">
        <f ca="1">Traps</f>
        <v>0</v>
      </c>
      <c r="J9" s="190">
        <f>SampleDoping</f>
        <v>44279440842219.18</v>
      </c>
      <c r="K9" s="222" t="e">
        <f ca="1">ImpliedVoc1sun</f>
        <v>#NAME?</v>
      </c>
      <c r="L9" s="270"/>
      <c r="M9" s="271"/>
      <c r="N9" s="272"/>
      <c r="O9" s="4"/>
      <c r="P9" s="4"/>
      <c r="Q9" s="13"/>
      <c r="R9" s="13"/>
      <c r="S9" s="13"/>
      <c r="T9" s="14"/>
    </row>
    <row r="10" spans="1:20" s="15" customFormat="1" ht="18" customHeight="1" x14ac:dyDescent="0.2">
      <c r="A10" s="257" t="str">
        <f ca="1">LifetimeTextLabel</f>
        <v>Lifetime = 1327.95 µs @ 1.0E+15 cm-3</v>
      </c>
      <c r="B10" s="258"/>
      <c r="C10" s="258"/>
      <c r="D10" s="258"/>
      <c r="E10" s="258"/>
      <c r="F10" s="258"/>
      <c r="G10" s="258"/>
      <c r="H10" s="258"/>
      <c r="I10" s="259"/>
      <c r="J10" s="263" t="str">
        <f>PassFailMsg</f>
        <v/>
      </c>
      <c r="K10" s="23"/>
      <c r="L10" s="270"/>
      <c r="M10" s="271"/>
      <c r="N10" s="272"/>
      <c r="O10" s="23"/>
      <c r="P10" s="23"/>
      <c r="Q10" s="16"/>
      <c r="R10" s="16"/>
      <c r="S10" s="16"/>
    </row>
    <row r="11" spans="1:20" ht="11.25" customHeight="1" x14ac:dyDescent="0.2">
      <c r="A11" s="260"/>
      <c r="B11" s="261"/>
      <c r="C11" s="261"/>
      <c r="D11" s="261"/>
      <c r="E11" s="261"/>
      <c r="F11" s="261"/>
      <c r="G11" s="261"/>
      <c r="H11" s="261"/>
      <c r="I11" s="262"/>
      <c r="J11" s="264"/>
      <c r="K11" s="17"/>
      <c r="L11" s="273"/>
      <c r="M11" s="274"/>
      <c r="N11" s="275"/>
      <c r="O11" s="17"/>
      <c r="P11" s="17"/>
      <c r="Q11" s="17"/>
      <c r="R11" s="17"/>
      <c r="S11" s="17"/>
    </row>
    <row r="12" spans="1:20" x14ac:dyDescent="0.2">
      <c r="A12" s="18"/>
      <c r="B12" s="18"/>
      <c r="C12" s="18"/>
      <c r="D12" s="18"/>
      <c r="E12" s="4"/>
      <c r="F12" s="17"/>
      <c r="G12" s="17"/>
      <c r="H12" s="17"/>
      <c r="I12" s="17"/>
      <c r="J12" s="17"/>
      <c r="K12" s="17"/>
      <c r="L12" s="17"/>
      <c r="M12" s="17"/>
      <c r="N12" s="17"/>
      <c r="O12" s="17"/>
      <c r="P12" s="17"/>
      <c r="Q12" s="17"/>
      <c r="R12" s="17"/>
      <c r="S12" s="17"/>
    </row>
    <row r="13" spans="1:20" x14ac:dyDescent="0.2">
      <c r="A13" s="27"/>
      <c r="B13" s="13"/>
      <c r="C13" s="28"/>
      <c r="D13" s="29"/>
      <c r="E13" s="4"/>
      <c r="F13" s="17"/>
      <c r="G13" s="17"/>
      <c r="H13" s="17"/>
      <c r="I13" s="17"/>
      <c r="J13" s="17"/>
      <c r="K13" s="17"/>
      <c r="L13" s="17"/>
      <c r="M13" s="17"/>
      <c r="N13" s="17"/>
      <c r="O13" s="17"/>
      <c r="P13" s="17"/>
      <c r="Q13" s="17"/>
      <c r="R13" s="17"/>
      <c r="S13" s="17"/>
    </row>
    <row r="14" spans="1:20" x14ac:dyDescent="0.2">
      <c r="A14" s="4"/>
      <c r="B14" s="4"/>
      <c r="C14" s="4"/>
      <c r="D14" s="4"/>
      <c r="E14" s="4"/>
      <c r="F14" s="17"/>
      <c r="G14" s="17"/>
      <c r="H14" s="17"/>
      <c r="I14" s="17"/>
      <c r="J14" s="17"/>
      <c r="K14" s="17"/>
      <c r="L14" s="17"/>
      <c r="M14" s="17"/>
      <c r="N14" s="17"/>
      <c r="O14" s="17"/>
      <c r="P14" s="17"/>
      <c r="Q14" s="17"/>
      <c r="R14" s="17"/>
      <c r="S14" s="17"/>
    </row>
    <row r="15" spans="1:20" x14ac:dyDescent="0.2">
      <c r="A15" s="18"/>
      <c r="B15" s="18"/>
      <c r="C15" s="18"/>
      <c r="D15" s="18"/>
      <c r="E15" s="4"/>
      <c r="F15" s="17"/>
      <c r="G15" s="17"/>
      <c r="H15" s="17"/>
      <c r="I15" s="17"/>
      <c r="J15" s="17"/>
      <c r="K15" s="17"/>
      <c r="L15" s="17"/>
      <c r="M15" s="17"/>
      <c r="N15" s="17"/>
      <c r="O15" s="17"/>
      <c r="P15" s="17"/>
      <c r="Q15" s="17"/>
      <c r="R15" s="17"/>
      <c r="S15" s="17"/>
    </row>
    <row r="16" spans="1:20" x14ac:dyDescent="0.2">
      <c r="A16" s="27"/>
      <c r="B16" s="4"/>
      <c r="C16" s="26"/>
      <c r="D16" s="30"/>
      <c r="E16" s="4"/>
      <c r="F16" s="17"/>
      <c r="G16" s="17"/>
      <c r="H16" s="17"/>
      <c r="I16" s="17"/>
      <c r="J16" s="17"/>
      <c r="K16" s="17"/>
      <c r="L16" s="17"/>
      <c r="M16" s="17"/>
      <c r="N16" s="17"/>
      <c r="O16" s="17"/>
      <c r="P16" s="17"/>
      <c r="Q16" s="17"/>
      <c r="R16" s="17"/>
      <c r="S16" s="17"/>
    </row>
    <row r="17" spans="1:19" x14ac:dyDescent="0.2">
      <c r="A17" s="27"/>
      <c r="B17" s="4"/>
      <c r="C17" s="26"/>
      <c r="D17" s="30"/>
      <c r="E17" s="4"/>
      <c r="F17" s="17"/>
      <c r="G17" s="17"/>
      <c r="H17" s="17"/>
      <c r="I17" s="17"/>
      <c r="J17" s="17"/>
      <c r="K17" s="17"/>
      <c r="L17" s="17"/>
      <c r="M17" s="17"/>
      <c r="N17" s="17"/>
      <c r="O17" s="17"/>
      <c r="P17" s="17"/>
      <c r="Q17" s="17"/>
      <c r="R17" s="17"/>
      <c r="S17" s="17"/>
    </row>
    <row r="18" spans="1:19" x14ac:dyDescent="0.2">
      <c r="A18" s="4"/>
      <c r="B18" s="4"/>
      <c r="C18" s="4"/>
      <c r="D18" s="4"/>
      <c r="E18" s="4"/>
      <c r="F18" s="17"/>
      <c r="G18" s="17"/>
      <c r="H18" s="17"/>
      <c r="I18" s="17"/>
      <c r="J18" s="17"/>
      <c r="K18" s="17"/>
      <c r="L18" s="17"/>
      <c r="M18" s="17"/>
      <c r="N18" s="17"/>
      <c r="O18" s="17"/>
      <c r="P18" s="17"/>
      <c r="Q18" s="17"/>
      <c r="R18" s="17"/>
      <c r="S18" s="17"/>
    </row>
    <row r="19" spans="1:19" x14ac:dyDescent="0.2">
      <c r="A19" s="4"/>
      <c r="B19" s="4"/>
      <c r="C19" s="4"/>
      <c r="D19" s="4"/>
      <c r="E19" s="4"/>
      <c r="F19" s="17"/>
      <c r="G19" s="17"/>
      <c r="H19" s="17"/>
      <c r="I19" s="17"/>
      <c r="J19" s="17"/>
      <c r="K19" s="17"/>
      <c r="L19" s="17"/>
      <c r="M19" s="17"/>
      <c r="N19" s="17"/>
      <c r="O19" s="17"/>
      <c r="P19" s="17"/>
      <c r="Q19" s="17"/>
      <c r="R19" s="17"/>
      <c r="S19" s="17"/>
    </row>
    <row r="20" spans="1:19" x14ac:dyDescent="0.2">
      <c r="A20" s="17"/>
      <c r="B20" s="17"/>
      <c r="C20" s="17"/>
      <c r="D20" s="17"/>
      <c r="E20" s="17"/>
      <c r="F20" s="17"/>
      <c r="G20" s="17"/>
      <c r="H20" s="17"/>
      <c r="I20" s="17"/>
      <c r="J20" s="17"/>
      <c r="K20" s="17"/>
      <c r="L20" s="17"/>
      <c r="M20" s="17"/>
      <c r="N20" s="17"/>
      <c r="O20" s="17"/>
      <c r="P20" s="17"/>
      <c r="Q20" s="17"/>
      <c r="R20" s="17"/>
      <c r="S20" s="17"/>
    </row>
    <row r="21" spans="1:19" x14ac:dyDescent="0.2">
      <c r="A21" s="17"/>
      <c r="B21" s="17"/>
      <c r="C21" s="17"/>
      <c r="D21" s="17"/>
      <c r="E21" s="17"/>
      <c r="F21" s="17"/>
      <c r="G21" s="17"/>
      <c r="H21" s="17"/>
      <c r="I21" s="17"/>
      <c r="J21" s="17"/>
      <c r="K21" s="17"/>
      <c r="L21" s="17"/>
      <c r="M21" s="17"/>
      <c r="N21" s="17"/>
      <c r="O21" s="17"/>
      <c r="P21" s="17"/>
      <c r="Q21" s="17"/>
      <c r="R21" s="17"/>
      <c r="S21" s="17"/>
    </row>
    <row r="22" spans="1:19" x14ac:dyDescent="0.2">
      <c r="A22" s="17"/>
      <c r="B22" s="17"/>
      <c r="C22" s="17"/>
      <c r="D22" s="17"/>
      <c r="E22" s="17"/>
      <c r="F22" s="17"/>
      <c r="G22" s="17"/>
      <c r="H22" s="17"/>
      <c r="I22" s="17"/>
      <c r="J22" s="17"/>
      <c r="K22" s="17"/>
      <c r="L22" s="17"/>
      <c r="M22" s="17"/>
      <c r="N22" s="17"/>
      <c r="O22" s="17"/>
      <c r="P22" s="17"/>
      <c r="Q22" s="17"/>
      <c r="R22" s="17"/>
      <c r="S22" s="17"/>
    </row>
    <row r="23" spans="1:19" x14ac:dyDescent="0.2">
      <c r="A23" s="17"/>
      <c r="B23" s="17"/>
      <c r="C23" s="17"/>
      <c r="D23" s="17"/>
      <c r="E23" s="17"/>
      <c r="F23" s="17"/>
      <c r="G23" s="17"/>
      <c r="H23" s="17"/>
      <c r="I23" s="17"/>
      <c r="J23" s="17"/>
      <c r="K23" s="17"/>
      <c r="L23" s="17"/>
      <c r="M23" s="17"/>
      <c r="N23" s="17"/>
      <c r="O23" s="17"/>
      <c r="P23" s="17"/>
      <c r="Q23" s="17"/>
      <c r="R23" s="17"/>
      <c r="S23" s="17"/>
    </row>
    <row r="24" spans="1:19" x14ac:dyDescent="0.2">
      <c r="A24" s="17"/>
      <c r="B24" s="17"/>
      <c r="C24" s="17"/>
      <c r="D24" s="17"/>
      <c r="E24" s="17"/>
      <c r="F24" s="17"/>
      <c r="G24" s="17"/>
      <c r="H24" s="17"/>
      <c r="I24" s="17"/>
      <c r="J24" s="17"/>
      <c r="K24" s="17"/>
      <c r="L24" s="17"/>
      <c r="M24" s="17"/>
      <c r="N24" s="17"/>
      <c r="O24" s="17"/>
      <c r="P24" s="17"/>
      <c r="Q24" s="17"/>
      <c r="R24" s="17"/>
      <c r="S24" s="17"/>
    </row>
    <row r="25" spans="1:19" x14ac:dyDescent="0.2">
      <c r="A25" s="17"/>
      <c r="B25" s="17"/>
      <c r="C25" s="17"/>
      <c r="D25" s="17"/>
      <c r="E25" s="17"/>
      <c r="F25" s="17"/>
      <c r="G25" s="17"/>
      <c r="H25" s="17"/>
      <c r="I25" s="17"/>
      <c r="J25" s="17"/>
      <c r="K25" s="17"/>
      <c r="L25" s="17"/>
      <c r="M25" s="17"/>
      <c r="N25" s="17"/>
      <c r="O25" s="17"/>
      <c r="P25" s="17"/>
      <c r="Q25" s="17"/>
      <c r="R25" s="17"/>
      <c r="S25" s="17"/>
    </row>
    <row r="26" spans="1:19" x14ac:dyDescent="0.2">
      <c r="A26" s="17"/>
      <c r="B26" s="17"/>
      <c r="C26" s="17"/>
      <c r="D26" s="17"/>
      <c r="E26" s="17"/>
      <c r="F26" s="17"/>
      <c r="G26" s="17"/>
      <c r="H26" s="17"/>
      <c r="I26" s="17"/>
      <c r="J26" s="17"/>
      <c r="K26" s="17"/>
      <c r="L26" s="17"/>
      <c r="M26" s="17"/>
      <c r="N26" s="17"/>
      <c r="O26" s="17"/>
      <c r="P26" s="17"/>
      <c r="Q26" s="17"/>
      <c r="R26" s="17"/>
      <c r="S26" s="17"/>
    </row>
    <row r="27" spans="1:19" x14ac:dyDescent="0.2">
      <c r="A27" s="17"/>
      <c r="B27" s="17"/>
      <c r="C27" s="17"/>
      <c r="D27" s="17"/>
      <c r="E27" s="17"/>
      <c r="F27" s="17"/>
      <c r="G27" s="17"/>
      <c r="H27" s="17"/>
      <c r="I27" s="17"/>
      <c r="J27" s="17"/>
      <c r="K27" s="17"/>
      <c r="L27" s="17"/>
      <c r="M27" s="17"/>
      <c r="N27" s="17"/>
      <c r="O27" s="17"/>
      <c r="P27" s="17"/>
      <c r="Q27" s="17"/>
      <c r="R27" s="17"/>
      <c r="S27" s="17"/>
    </row>
    <row r="28" spans="1:19" x14ac:dyDescent="0.2">
      <c r="A28" s="17"/>
      <c r="B28" s="17"/>
      <c r="C28" s="17"/>
      <c r="D28" s="17"/>
      <c r="E28" s="17"/>
      <c r="F28" s="17"/>
      <c r="G28" s="17"/>
      <c r="H28" s="17"/>
      <c r="I28" s="17"/>
      <c r="J28" s="17"/>
      <c r="K28" s="17"/>
      <c r="L28" s="17"/>
      <c r="M28" s="17"/>
      <c r="N28" s="17"/>
      <c r="O28" s="17"/>
      <c r="P28" s="17"/>
      <c r="Q28" s="17"/>
      <c r="R28" s="17"/>
      <c r="S28" s="17"/>
    </row>
    <row r="29" spans="1:19" x14ac:dyDescent="0.2">
      <c r="A29" s="17"/>
      <c r="B29" s="17"/>
      <c r="C29" s="17"/>
      <c r="D29" s="17"/>
      <c r="E29" s="17"/>
      <c r="F29" s="17"/>
      <c r="G29" s="17"/>
      <c r="H29" s="17"/>
      <c r="I29" s="17"/>
      <c r="J29" s="17"/>
      <c r="K29" s="17"/>
      <c r="L29" s="17"/>
      <c r="M29" s="17"/>
      <c r="N29" s="17"/>
      <c r="O29" s="17"/>
      <c r="P29" s="17"/>
      <c r="Q29" s="17"/>
      <c r="R29" s="17"/>
      <c r="S29" s="17"/>
    </row>
    <row r="30" spans="1:19" x14ac:dyDescent="0.2">
      <c r="A30" s="17"/>
      <c r="B30" s="17"/>
      <c r="C30" s="17"/>
      <c r="D30" s="17"/>
      <c r="E30" s="17"/>
      <c r="F30" s="17"/>
      <c r="G30" s="17"/>
      <c r="H30" s="17"/>
      <c r="I30" s="17"/>
      <c r="J30" s="17"/>
      <c r="K30" s="17"/>
      <c r="L30" s="17"/>
      <c r="M30" s="17"/>
      <c r="N30" s="17"/>
      <c r="O30" s="17"/>
      <c r="P30" s="17"/>
      <c r="Q30" s="17"/>
      <c r="R30" s="17"/>
      <c r="S30" s="17"/>
    </row>
    <row r="31" spans="1:19" x14ac:dyDescent="0.2">
      <c r="A31" s="17"/>
      <c r="B31" s="17"/>
      <c r="C31" s="17"/>
      <c r="D31" s="17"/>
      <c r="E31" s="17"/>
      <c r="F31" s="17"/>
      <c r="G31" s="17"/>
      <c r="H31" s="17"/>
      <c r="I31" s="17"/>
      <c r="J31" s="17"/>
      <c r="K31" s="17"/>
      <c r="L31" s="17"/>
      <c r="M31" s="17"/>
      <c r="N31" s="17"/>
      <c r="O31" s="17"/>
      <c r="P31" s="17"/>
      <c r="Q31" s="17"/>
      <c r="R31" s="17"/>
      <c r="S31" s="17"/>
    </row>
    <row r="32" spans="1:19" x14ac:dyDescent="0.2">
      <c r="A32" s="17"/>
      <c r="B32" s="17"/>
      <c r="C32" s="17"/>
      <c r="D32" s="17"/>
      <c r="E32" s="17"/>
      <c r="F32" s="17"/>
      <c r="G32" s="17"/>
      <c r="H32" s="17"/>
      <c r="I32" s="17"/>
      <c r="J32" s="17"/>
      <c r="K32" s="17"/>
      <c r="L32" s="17"/>
      <c r="M32" s="17"/>
      <c r="N32" s="17"/>
      <c r="O32" s="17"/>
      <c r="P32" s="17"/>
      <c r="Q32" s="17"/>
      <c r="R32" s="17"/>
      <c r="S32" s="17"/>
    </row>
    <row r="33" spans="1:19" x14ac:dyDescent="0.2">
      <c r="A33" s="17"/>
      <c r="B33" s="17"/>
      <c r="C33" s="17"/>
      <c r="D33" s="17"/>
      <c r="E33" s="17"/>
      <c r="F33" s="17"/>
      <c r="G33" s="17"/>
      <c r="H33" s="17"/>
      <c r="I33" s="17"/>
      <c r="J33" s="17"/>
      <c r="K33" s="17"/>
      <c r="L33" s="17"/>
      <c r="M33" s="17"/>
      <c r="N33" s="17"/>
      <c r="O33" s="17"/>
      <c r="P33" s="17"/>
      <c r="Q33" s="17"/>
      <c r="R33" s="17"/>
      <c r="S33" s="17"/>
    </row>
    <row r="34" spans="1:19" x14ac:dyDescent="0.2">
      <c r="A34" s="17"/>
      <c r="B34" s="17"/>
      <c r="C34" s="17"/>
      <c r="D34" s="17"/>
      <c r="E34" s="17"/>
      <c r="F34" s="17"/>
      <c r="G34" s="17"/>
      <c r="H34" s="17"/>
      <c r="I34" s="17"/>
      <c r="J34" s="17"/>
      <c r="K34" s="17"/>
      <c r="L34" s="17"/>
      <c r="M34" s="17"/>
      <c r="N34" s="17"/>
      <c r="O34" s="17"/>
      <c r="P34" s="17"/>
      <c r="Q34" s="17"/>
      <c r="R34" s="17"/>
      <c r="S34" s="17"/>
    </row>
    <row r="35" spans="1:19" x14ac:dyDescent="0.2">
      <c r="A35" s="17"/>
      <c r="B35" s="17"/>
      <c r="C35" s="17"/>
      <c r="D35" s="17"/>
      <c r="E35" s="17"/>
      <c r="F35" s="17"/>
      <c r="G35" s="17"/>
      <c r="H35" s="17"/>
      <c r="I35" s="17"/>
      <c r="J35" s="17"/>
      <c r="K35" s="17"/>
      <c r="L35" s="17"/>
      <c r="M35" s="17"/>
      <c r="N35" s="17"/>
      <c r="O35" s="17"/>
      <c r="P35" s="17"/>
      <c r="Q35" s="17"/>
      <c r="R35" s="17"/>
      <c r="S35" s="17"/>
    </row>
    <row r="36" spans="1:19" x14ac:dyDescent="0.2">
      <c r="A36" s="17"/>
      <c r="B36" s="17"/>
      <c r="C36" s="17"/>
      <c r="D36" s="17"/>
      <c r="E36" s="17"/>
      <c r="F36" s="17"/>
      <c r="G36" s="17"/>
      <c r="H36" s="17"/>
      <c r="I36" s="17"/>
      <c r="J36" s="17"/>
      <c r="K36" s="17"/>
      <c r="L36" s="17"/>
      <c r="M36" s="17"/>
      <c r="N36" s="17"/>
      <c r="O36" s="17"/>
      <c r="P36" s="17"/>
      <c r="Q36" s="17"/>
      <c r="R36" s="17"/>
      <c r="S36" s="17"/>
    </row>
    <row r="37" spans="1:19" x14ac:dyDescent="0.2">
      <c r="A37" s="17"/>
      <c r="B37" s="17"/>
      <c r="C37" s="17"/>
      <c r="D37" s="17"/>
      <c r="E37" s="17"/>
      <c r="F37" s="17"/>
      <c r="G37" s="17"/>
      <c r="H37" s="17"/>
      <c r="I37" s="17"/>
      <c r="J37" s="17"/>
      <c r="K37" s="17"/>
      <c r="L37" s="17"/>
      <c r="M37" s="17"/>
      <c r="N37" s="17"/>
      <c r="O37" s="17"/>
      <c r="P37" s="17"/>
      <c r="Q37" s="17"/>
      <c r="R37" s="17"/>
      <c r="S37" s="17"/>
    </row>
    <row r="38" spans="1:19" x14ac:dyDescent="0.2">
      <c r="A38" s="17"/>
      <c r="B38" s="17"/>
      <c r="C38" s="17"/>
      <c r="D38" s="17"/>
      <c r="E38" s="17"/>
      <c r="F38" s="17"/>
      <c r="G38" s="17"/>
      <c r="H38" s="17"/>
      <c r="I38" s="17"/>
      <c r="J38" s="17"/>
      <c r="K38" s="17"/>
      <c r="L38" s="17"/>
      <c r="M38" s="17"/>
      <c r="N38" s="17"/>
      <c r="O38" s="17"/>
      <c r="P38" s="17"/>
      <c r="Q38" s="17"/>
      <c r="R38" s="17"/>
      <c r="S38" s="17"/>
    </row>
    <row r="39" spans="1:19" x14ac:dyDescent="0.2">
      <c r="A39" s="17"/>
      <c r="B39" s="17"/>
      <c r="C39" s="17"/>
      <c r="D39" s="17"/>
      <c r="E39" s="17"/>
      <c r="F39" s="17"/>
      <c r="G39" s="17"/>
      <c r="H39" s="17"/>
      <c r="I39" s="17"/>
      <c r="J39" s="17"/>
      <c r="K39" s="17"/>
      <c r="L39" s="17"/>
      <c r="M39" s="17"/>
      <c r="N39" s="17"/>
      <c r="O39" s="17"/>
      <c r="P39" s="17"/>
      <c r="Q39" s="17"/>
      <c r="R39" s="17"/>
      <c r="S39" s="17"/>
    </row>
    <row r="40" spans="1:19" x14ac:dyDescent="0.2">
      <c r="A40" s="17"/>
      <c r="B40" s="17"/>
      <c r="C40" s="17"/>
      <c r="D40" s="17"/>
      <c r="E40" s="17"/>
      <c r="F40" s="17"/>
      <c r="G40" s="17"/>
      <c r="H40" s="17"/>
      <c r="I40" s="17"/>
      <c r="J40" s="17"/>
      <c r="K40" s="17"/>
      <c r="L40" s="17"/>
      <c r="M40" s="17"/>
      <c r="N40" s="17"/>
      <c r="O40" s="17"/>
      <c r="P40" s="17"/>
      <c r="Q40" s="17"/>
      <c r="R40" s="17"/>
      <c r="S40" s="17"/>
    </row>
    <row r="41" spans="1:19" x14ac:dyDescent="0.2">
      <c r="A41" s="17"/>
      <c r="B41" s="17"/>
      <c r="C41" s="17"/>
      <c r="D41" s="17"/>
      <c r="E41" s="17"/>
      <c r="F41" s="17"/>
      <c r="G41" s="17"/>
      <c r="H41" s="17"/>
      <c r="I41" s="17"/>
      <c r="J41" s="17"/>
      <c r="K41" s="17"/>
      <c r="L41" s="17"/>
      <c r="M41" s="17"/>
      <c r="N41" s="17"/>
      <c r="O41" s="17"/>
      <c r="P41" s="17"/>
      <c r="Q41" s="17"/>
      <c r="R41" s="17"/>
      <c r="S41" s="17"/>
    </row>
    <row r="42" spans="1:19" x14ac:dyDescent="0.2">
      <c r="A42" s="17"/>
      <c r="B42" s="17"/>
      <c r="C42" s="17"/>
      <c r="D42" s="17"/>
      <c r="E42" s="17"/>
      <c r="F42" s="17"/>
      <c r="G42" s="17"/>
      <c r="H42" s="17"/>
      <c r="I42" s="17"/>
      <c r="J42" s="17"/>
      <c r="K42" s="17"/>
      <c r="L42" s="17"/>
      <c r="M42" s="17"/>
      <c r="N42" s="17"/>
      <c r="O42" s="17"/>
      <c r="P42" s="17"/>
      <c r="Q42" s="17"/>
      <c r="R42" s="17"/>
      <c r="S42" s="17"/>
    </row>
    <row r="43" spans="1:19" x14ac:dyDescent="0.2">
      <c r="A43" s="17"/>
      <c r="B43" s="17"/>
      <c r="C43" s="17"/>
      <c r="D43" s="17"/>
      <c r="E43" s="17"/>
      <c r="F43" s="17"/>
      <c r="G43" s="17"/>
      <c r="H43" s="17"/>
      <c r="I43" s="17"/>
      <c r="J43" s="17"/>
      <c r="K43" s="17"/>
      <c r="L43" s="17"/>
      <c r="M43" s="17"/>
      <c r="N43" s="17"/>
      <c r="O43" s="17"/>
      <c r="P43" s="17"/>
      <c r="Q43" s="17"/>
      <c r="R43" s="17"/>
      <c r="S43" s="17"/>
    </row>
    <row r="44" spans="1:19" x14ac:dyDescent="0.2">
      <c r="A44" s="17"/>
      <c r="B44" s="17"/>
      <c r="C44" s="17"/>
      <c r="D44" s="17"/>
      <c r="E44" s="17"/>
      <c r="F44" s="17"/>
      <c r="G44" s="17"/>
      <c r="H44" s="17"/>
      <c r="I44" s="17"/>
      <c r="J44" s="17"/>
      <c r="K44" s="17"/>
      <c r="L44" s="17"/>
      <c r="M44" s="17"/>
      <c r="N44" s="17"/>
      <c r="O44" s="17"/>
      <c r="P44" s="17"/>
      <c r="Q44" s="17"/>
      <c r="R44" s="17"/>
      <c r="S44" s="17"/>
    </row>
    <row r="45" spans="1:19" x14ac:dyDescent="0.2">
      <c r="A45" s="17"/>
      <c r="B45" s="17"/>
      <c r="C45" s="17"/>
      <c r="D45" s="17"/>
      <c r="E45" s="17"/>
      <c r="F45" s="17"/>
      <c r="G45" s="17"/>
      <c r="H45" s="17"/>
      <c r="I45" s="17"/>
      <c r="J45" s="17"/>
      <c r="K45" s="17"/>
      <c r="L45" s="17"/>
      <c r="M45" s="17"/>
      <c r="N45" s="17"/>
      <c r="O45" s="17"/>
      <c r="P45" s="17"/>
      <c r="Q45" s="17"/>
      <c r="R45" s="17"/>
      <c r="S45" s="17"/>
    </row>
    <row r="46" spans="1:19" x14ac:dyDescent="0.2">
      <c r="A46" s="17"/>
      <c r="B46" s="17"/>
      <c r="C46" s="17"/>
      <c r="D46" s="17"/>
      <c r="E46" s="17"/>
      <c r="F46" s="17"/>
      <c r="G46" s="17"/>
      <c r="H46" s="17"/>
      <c r="I46" s="17"/>
      <c r="J46" s="17"/>
      <c r="K46" s="17"/>
      <c r="L46" s="17"/>
      <c r="M46" s="17"/>
      <c r="N46" s="17"/>
      <c r="O46" s="17"/>
      <c r="P46" s="17"/>
      <c r="Q46" s="17"/>
      <c r="R46" s="17"/>
      <c r="S46" s="17"/>
    </row>
    <row r="47" spans="1:19" x14ac:dyDescent="0.2">
      <c r="A47" s="17"/>
      <c r="B47" s="17"/>
      <c r="C47" s="17"/>
      <c r="D47" s="17"/>
      <c r="E47" s="17"/>
      <c r="F47" s="17"/>
      <c r="G47" s="17"/>
      <c r="H47" s="17"/>
      <c r="I47" s="17"/>
      <c r="J47" s="17"/>
      <c r="K47" s="17"/>
      <c r="L47" s="17"/>
      <c r="M47" s="17"/>
      <c r="N47" s="17"/>
      <c r="O47" s="17"/>
      <c r="P47" s="17"/>
      <c r="Q47" s="17"/>
      <c r="R47" s="17"/>
      <c r="S47" s="17"/>
    </row>
    <row r="48" spans="1:19" x14ac:dyDescent="0.2">
      <c r="A48" s="17"/>
      <c r="B48" s="17"/>
      <c r="C48" s="17"/>
      <c r="D48" s="17"/>
      <c r="E48" s="17"/>
      <c r="F48" s="17"/>
      <c r="G48" s="17"/>
      <c r="H48" s="17"/>
      <c r="I48" s="17"/>
      <c r="J48" s="17"/>
      <c r="K48" s="17"/>
      <c r="L48" s="17"/>
      <c r="M48" s="17"/>
      <c r="N48" s="17"/>
      <c r="O48" s="17"/>
      <c r="P48" s="17"/>
      <c r="Q48" s="17"/>
      <c r="R48" s="17"/>
      <c r="S48" s="17"/>
    </row>
    <row r="49" spans="1:19" x14ac:dyDescent="0.2">
      <c r="A49" s="17"/>
      <c r="B49" s="17"/>
      <c r="C49" s="17"/>
      <c r="D49" s="17"/>
      <c r="E49" s="17"/>
      <c r="F49" s="17"/>
      <c r="G49" s="17"/>
      <c r="H49" s="17"/>
      <c r="I49" s="17"/>
      <c r="J49" s="17"/>
      <c r="K49" s="17"/>
      <c r="L49" s="17"/>
      <c r="M49" s="17"/>
      <c r="N49" s="17"/>
      <c r="O49" s="17"/>
      <c r="P49" s="17"/>
      <c r="Q49" s="17"/>
      <c r="R49" s="17"/>
      <c r="S49" s="17"/>
    </row>
    <row r="50" spans="1:19" x14ac:dyDescent="0.2">
      <c r="A50" s="17"/>
      <c r="B50" s="17"/>
      <c r="C50" s="17"/>
      <c r="D50" s="17"/>
      <c r="E50" s="17"/>
      <c r="F50" s="17"/>
      <c r="G50" s="17"/>
      <c r="H50" s="17"/>
      <c r="I50" s="17"/>
      <c r="J50" s="17"/>
      <c r="K50" s="17"/>
      <c r="L50" s="17"/>
      <c r="M50" s="17"/>
      <c r="N50" s="17"/>
      <c r="O50" s="17"/>
      <c r="P50" s="17"/>
      <c r="Q50" s="17"/>
      <c r="R50" s="17"/>
      <c r="S50" s="17"/>
    </row>
    <row r="51" spans="1:19" x14ac:dyDescent="0.2">
      <c r="A51" s="17"/>
      <c r="B51" s="17"/>
      <c r="C51" s="17"/>
      <c r="D51" s="17"/>
      <c r="E51" s="17"/>
      <c r="F51" s="17"/>
      <c r="G51" s="17"/>
      <c r="H51" s="17"/>
      <c r="I51" s="17"/>
      <c r="J51" s="17"/>
      <c r="K51" s="17"/>
      <c r="L51" s="17"/>
      <c r="M51" s="17"/>
      <c r="N51" s="17"/>
      <c r="O51" s="17"/>
      <c r="P51" s="17"/>
      <c r="Q51" s="17"/>
      <c r="R51" s="17"/>
      <c r="S51" s="17"/>
    </row>
    <row r="52" spans="1:19" x14ac:dyDescent="0.2">
      <c r="A52" s="17"/>
      <c r="B52" s="17"/>
      <c r="C52" s="17"/>
      <c r="D52" s="17"/>
      <c r="E52" s="17"/>
      <c r="F52" s="17"/>
      <c r="G52" s="17"/>
      <c r="H52" s="17"/>
      <c r="I52" s="17"/>
      <c r="J52" s="17"/>
      <c r="K52" s="17"/>
      <c r="L52" s="17"/>
      <c r="M52" s="17"/>
      <c r="N52" s="17"/>
      <c r="O52" s="17"/>
      <c r="P52" s="17"/>
      <c r="Q52" s="17"/>
      <c r="R52" s="17"/>
      <c r="S52" s="17"/>
    </row>
    <row r="53" spans="1:19" x14ac:dyDescent="0.2">
      <c r="A53" s="17"/>
      <c r="B53" s="17"/>
      <c r="C53" s="17"/>
      <c r="D53" s="17"/>
      <c r="E53" s="17"/>
      <c r="F53" s="17"/>
      <c r="G53" s="17"/>
      <c r="H53" s="17"/>
      <c r="I53" s="17"/>
      <c r="J53" s="17"/>
      <c r="K53" s="17"/>
      <c r="L53" s="17"/>
      <c r="M53" s="17"/>
      <c r="N53" s="17"/>
      <c r="O53" s="17"/>
      <c r="P53" s="17"/>
      <c r="Q53" s="17"/>
      <c r="R53" s="17"/>
      <c r="S53" s="17"/>
    </row>
    <row r="54" spans="1:19" x14ac:dyDescent="0.2">
      <c r="A54" s="17"/>
      <c r="B54" s="17"/>
      <c r="C54" s="17"/>
      <c r="D54" s="17"/>
      <c r="E54" s="17"/>
      <c r="F54" s="17"/>
      <c r="G54" s="17"/>
      <c r="H54" s="17"/>
      <c r="I54" s="17"/>
      <c r="J54" s="17"/>
      <c r="K54" s="17"/>
      <c r="L54" s="17"/>
      <c r="M54" s="17"/>
      <c r="N54" s="17"/>
      <c r="O54" s="17"/>
      <c r="P54" s="17"/>
      <c r="Q54" s="17"/>
      <c r="R54" s="17"/>
      <c r="S54" s="17"/>
    </row>
    <row r="55" spans="1:19" x14ac:dyDescent="0.2">
      <c r="A55" s="17"/>
      <c r="B55" s="17"/>
      <c r="C55" s="17"/>
      <c r="D55" s="17"/>
      <c r="E55" s="17"/>
      <c r="F55" s="17"/>
      <c r="G55" s="17"/>
      <c r="H55" s="17"/>
      <c r="I55" s="17"/>
      <c r="J55" s="17"/>
      <c r="K55" s="17"/>
      <c r="L55" s="17"/>
      <c r="M55" s="17"/>
      <c r="N55" s="17"/>
      <c r="O55" s="17"/>
      <c r="P55" s="17"/>
      <c r="Q55" s="17"/>
      <c r="R55" s="17"/>
      <c r="S55" s="17"/>
    </row>
    <row r="56" spans="1:19" x14ac:dyDescent="0.2">
      <c r="A56" s="17"/>
      <c r="B56" s="17"/>
      <c r="C56" s="17"/>
      <c r="D56" s="17"/>
      <c r="E56" s="17"/>
      <c r="F56" s="17"/>
      <c r="G56" s="17"/>
      <c r="H56" s="17"/>
      <c r="I56" s="17"/>
      <c r="J56" s="17"/>
      <c r="K56" s="17"/>
      <c r="L56" s="17"/>
      <c r="M56" s="17"/>
      <c r="N56" s="17"/>
      <c r="O56" s="17"/>
      <c r="P56" s="17"/>
      <c r="Q56" s="17"/>
      <c r="R56" s="17"/>
      <c r="S56" s="17"/>
    </row>
    <row r="57" spans="1:19" x14ac:dyDescent="0.2">
      <c r="A57" s="17"/>
      <c r="B57" s="17"/>
      <c r="C57" s="17"/>
      <c r="D57" s="17"/>
      <c r="E57" s="17"/>
      <c r="F57" s="17"/>
      <c r="G57" s="17"/>
      <c r="H57" s="17"/>
      <c r="I57" s="17"/>
      <c r="J57" s="17"/>
      <c r="K57" s="17"/>
      <c r="L57" s="17"/>
      <c r="M57" s="17"/>
      <c r="N57" s="17"/>
      <c r="O57" s="17"/>
      <c r="P57" s="17"/>
      <c r="Q57" s="17"/>
      <c r="R57" s="17"/>
      <c r="S57" s="17"/>
    </row>
    <row r="66" spans="2:2" x14ac:dyDescent="0.2">
      <c r="B66" s="19"/>
    </row>
    <row r="67" spans="2:2" x14ac:dyDescent="0.2">
      <c r="B67" s="19"/>
    </row>
    <row r="68" spans="2:2" x14ac:dyDescent="0.2">
      <c r="B68" s="19"/>
    </row>
    <row r="69" spans="2:2" x14ac:dyDescent="0.2">
      <c r="B69" s="19"/>
    </row>
    <row r="70" spans="2:2" x14ac:dyDescent="0.2">
      <c r="B70" s="19"/>
    </row>
    <row r="71" spans="2:2" x14ac:dyDescent="0.2">
      <c r="B71" s="19"/>
    </row>
    <row r="72" spans="2:2" x14ac:dyDescent="0.2">
      <c r="B72" s="19"/>
    </row>
    <row r="73" spans="2:2" x14ac:dyDescent="0.2">
      <c r="B73" s="19"/>
    </row>
    <row r="74" spans="2:2" x14ac:dyDescent="0.2">
      <c r="B74" s="19"/>
    </row>
    <row r="75" spans="2:2" x14ac:dyDescent="0.2">
      <c r="B75" s="19"/>
    </row>
    <row r="76" spans="2:2" x14ac:dyDescent="0.2">
      <c r="B76" s="19"/>
    </row>
    <row r="135" spans="1:3" x14ac:dyDescent="0.2">
      <c r="A135" s="1" t="s">
        <v>9</v>
      </c>
    </row>
    <row r="136" spans="1:3" x14ac:dyDescent="0.2">
      <c r="C136" s="2">
        <v>1.46738701E-2</v>
      </c>
    </row>
  </sheetData>
  <sheetProtection sheet="1" objects="1" scenarios="1" selectLockedCells="1"/>
  <mergeCells count="4">
    <mergeCell ref="A10:I11"/>
    <mergeCell ref="J10:J11"/>
    <mergeCell ref="L5:N6"/>
    <mergeCell ref="L8:N11"/>
  </mergeCells>
  <phoneticPr fontId="5" type="noConversion"/>
  <conditionalFormatting sqref="J10:J11">
    <cfRule type="containsText" dxfId="1" priority="1" operator="containsText" text="FAIL">
      <formula>NOT(ISERROR(SEARCH("FAIL",J10)))</formula>
    </cfRule>
    <cfRule type="containsText" dxfId="0" priority="2" operator="containsText" text="PASS">
      <formula>NOT(ISERROR(SEARCH("PASS",J10)))</formula>
    </cfRule>
  </conditionalFormatting>
  <dataValidations count="2">
    <dataValidation type="list" allowBlank="1" showInputMessage="1" showErrorMessage="1" sqref="D6">
      <formula1>type_list</formula1>
    </dataValidation>
    <dataValidation type="list" allowBlank="1" showInputMessage="1" showErrorMessage="1" sqref="H6">
      <formula1>Mode_List</formula1>
    </dataValidation>
  </dataValidations>
  <pageMargins left="0.79" right="0.52" top="0.66" bottom="0.53" header="0.43" footer="0.3"/>
  <pageSetup scale="29" orientation="landscape" r:id="rId1"/>
  <headerFooter alignWithMargins="0">
    <oddHeader>&amp;L&amp;"Arial,Bold"Minority Carrier Lifetime Measurement&amp;C&amp;"Arial,Bold"&amp;F</oddHeader>
    <oddFooter>&amp;LFilename: &amp;F&amp;CPrinted:&amp;D &amp;T&amp;RSinton Lifetime Tester Copyright 2001</oddFooter>
  </headerFooter>
  <drawing r:id="rId2"/>
  <legacyDrawing r:id="rId3"/>
  <controls>
    <mc:AlternateContent xmlns:mc="http://schemas.openxmlformats.org/markup-compatibility/2006">
      <mc:Choice Requires="x14">
        <control shapeId="51315" r:id="rId4" name="GenerateReportButton">
          <controlPr defaultSize="0" print="0" autoLine="0" r:id="rId5">
            <anchor>
              <from>
                <xdr:col>6</xdr:col>
                <xdr:colOff>714375</xdr:colOff>
                <xdr:row>0</xdr:row>
                <xdr:rowOff>28575</xdr:rowOff>
              </from>
              <to>
                <xdr:col>8</xdr:col>
                <xdr:colOff>390525</xdr:colOff>
                <xdr:row>2</xdr:row>
                <xdr:rowOff>142875</xdr:rowOff>
              </to>
            </anchor>
          </controlPr>
        </control>
      </mc:Choice>
      <mc:Fallback>
        <control shapeId="51315" r:id="rId4" name="GenerateReportButton"/>
      </mc:Fallback>
    </mc:AlternateContent>
    <mc:AlternateContent xmlns:mc="http://schemas.openxmlformats.org/markup-compatibility/2006">
      <mc:Choice Requires="x14">
        <control shapeId="51301" r:id="rId6" name="SaveGraphtoTextButton">
          <controlPr defaultSize="0" print="0" autoLine="0" r:id="rId7">
            <anchor>
              <from>
                <xdr:col>4</xdr:col>
                <xdr:colOff>876300</xdr:colOff>
                <xdr:row>0</xdr:row>
                <xdr:rowOff>38100</xdr:rowOff>
              </from>
              <to>
                <xdr:col>6</xdr:col>
                <xdr:colOff>695325</xdr:colOff>
                <xdr:row>2</xdr:row>
                <xdr:rowOff>152400</xdr:rowOff>
              </to>
            </anchor>
          </controlPr>
        </control>
      </mc:Choice>
      <mc:Fallback>
        <control shapeId="51301" r:id="rId6" name="SaveGraphtoTextButton"/>
      </mc:Fallback>
    </mc:AlternateContent>
    <mc:AlternateContent xmlns:mc="http://schemas.openxmlformats.org/markup-compatibility/2006">
      <mc:Choice Requires="x14">
        <control shapeId="51298" r:id="rId8" name="LogToSummaryButton">
          <controlPr defaultSize="0" print="0" autoLine="0" r:id="rId9">
            <anchor>
              <from>
                <xdr:col>3</xdr:col>
                <xdr:colOff>190500</xdr:colOff>
                <xdr:row>0</xdr:row>
                <xdr:rowOff>38100</xdr:rowOff>
              </from>
              <to>
                <xdr:col>4</xdr:col>
                <xdr:colOff>847725</xdr:colOff>
                <xdr:row>2</xdr:row>
                <xdr:rowOff>152400</xdr:rowOff>
              </to>
            </anchor>
          </controlPr>
        </control>
      </mc:Choice>
      <mc:Fallback>
        <control shapeId="51298" r:id="rId8" name="LogToSummaryButton"/>
      </mc:Fallback>
    </mc:AlternateContent>
    <mc:AlternateContent xmlns:mc="http://schemas.openxmlformats.org/markup-compatibility/2006">
      <mc:Choice Requires="x14">
        <control shapeId="51295" r:id="rId10" name="ZeroInstrumentButton">
          <controlPr defaultSize="0" print="0" autoLine="0" r:id="rId11">
            <anchor>
              <from>
                <xdr:col>0</xdr:col>
                <xdr:colOff>47625</xdr:colOff>
                <xdr:row>0</xdr:row>
                <xdr:rowOff>38100</xdr:rowOff>
              </from>
              <to>
                <xdr:col>1</xdr:col>
                <xdr:colOff>542925</xdr:colOff>
                <xdr:row>2</xdr:row>
                <xdr:rowOff>152400</xdr:rowOff>
              </to>
            </anchor>
          </controlPr>
        </control>
      </mc:Choice>
      <mc:Fallback>
        <control shapeId="51295" r:id="rId10" name="ZeroInstrumentButton"/>
      </mc:Fallback>
    </mc:AlternateContent>
    <mc:AlternateContent xmlns:mc="http://schemas.openxmlformats.org/markup-compatibility/2006">
      <mc:Choice Requires="x14">
        <control shapeId="51296" r:id="rId12" name="MeasureButton">
          <controlPr defaultSize="0" print="0" autoLine="0" r:id="rId13">
            <anchor>
              <from>
                <xdr:col>1</xdr:col>
                <xdr:colOff>571500</xdr:colOff>
                <xdr:row>0</xdr:row>
                <xdr:rowOff>38100</xdr:rowOff>
              </from>
              <to>
                <xdr:col>3</xdr:col>
                <xdr:colOff>161925</xdr:colOff>
                <xdr:row>2</xdr:row>
                <xdr:rowOff>152400</xdr:rowOff>
              </to>
            </anchor>
          </controlPr>
        </control>
      </mc:Choice>
      <mc:Fallback>
        <control shapeId="51296" r:id="rId12" name="MeasureButton"/>
      </mc:Fallback>
    </mc:AlternateContent>
    <mc:AlternateContent xmlns:mc="http://schemas.openxmlformats.org/markup-compatibility/2006">
      <mc:Choice Requires="x14">
        <control shapeId="51299" r:id="rId14" name="Button 99">
          <controlPr defaultSize="0" print="0" autoFill="0" autoPict="0" macro="[0]!RescaleInverse">
            <anchor>
              <from>
                <xdr:col>12</xdr:col>
                <xdr:colOff>209550</xdr:colOff>
                <xdr:row>11</xdr:row>
                <xdr:rowOff>28575</xdr:rowOff>
              </from>
              <to>
                <xdr:col>13</xdr:col>
                <xdr:colOff>104775</xdr:colOff>
                <xdr:row>13</xdr:row>
                <xdr:rowOff>104775</xdr:rowOff>
              </to>
            </anchor>
          </controlPr>
        </control>
      </mc:Choice>
    </mc:AlternateContent>
    <mc:AlternateContent xmlns:mc="http://schemas.openxmlformats.org/markup-compatibility/2006">
      <mc:Choice Requires="x14">
        <control shapeId="51300" r:id="rId15" name="Button 100">
          <controlPr defaultSize="0" print="0" autoFill="0" autoPict="0" macro="[0]!RescaleLifetime">
            <anchor>
              <from>
                <xdr:col>12</xdr:col>
                <xdr:colOff>190500</xdr:colOff>
                <xdr:row>33</xdr:row>
                <xdr:rowOff>28575</xdr:rowOff>
              </from>
              <to>
                <xdr:col>13</xdr:col>
                <xdr:colOff>85725</xdr:colOff>
                <xdr:row>35</xdr:row>
                <xdr:rowOff>114300</xdr:rowOff>
              </to>
            </anchor>
          </controlPr>
        </control>
      </mc:Choice>
    </mc:AlternateContent>
  </controls>
  <webPublishItems count="1">
    <webPublishItem id="5403" divId="QSS2PC99f_5403" sourceType="sheet" destinationFile="C:\Stu\Consulting\New XL Files\PCfiles\Page.htm"/>
  </webPublishItem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508"/>
  <sheetViews>
    <sheetView topLeftCell="I1" zoomScale="80" zoomScaleNormal="80" workbookViewId="0">
      <selection activeCell="A8" sqref="A8:C279"/>
    </sheetView>
  </sheetViews>
  <sheetFormatPr defaultColWidth="11.42578125" defaultRowHeight="12.75" x14ac:dyDescent="0.2"/>
  <cols>
    <col min="1" max="1" width="11.7109375" style="41" customWidth="1"/>
    <col min="2" max="2" width="13.85546875" style="41" customWidth="1"/>
    <col min="3" max="3" width="12" style="41" customWidth="1"/>
    <col min="4" max="4" width="11" style="41" customWidth="1"/>
    <col min="5" max="5" width="11.85546875" style="41" customWidth="1"/>
    <col min="6" max="6" width="13.42578125" style="41" customWidth="1"/>
    <col min="7" max="7" width="10.7109375" style="41" customWidth="1"/>
    <col min="8" max="8" width="13.85546875" style="41" customWidth="1"/>
    <col min="9" max="9" width="14" style="41" customWidth="1"/>
    <col min="10" max="10" width="14.5703125" style="41" customWidth="1"/>
    <col min="11" max="11" width="12" style="41" bestFit="1" customWidth="1"/>
    <col min="12" max="12" width="14.5703125" style="41" customWidth="1"/>
    <col min="13" max="13" width="14.140625" style="41" customWidth="1"/>
    <col min="14" max="14" width="14.85546875" style="41" customWidth="1"/>
    <col min="15" max="15" width="14.5703125" style="41" customWidth="1"/>
    <col min="16" max="16" width="14.7109375" style="41" customWidth="1"/>
    <col min="17" max="17" width="21.140625" style="41" customWidth="1"/>
    <col min="18" max="18" width="13.42578125" style="41" customWidth="1"/>
    <col min="19" max="19" width="12.42578125" style="41" customWidth="1"/>
    <col min="20" max="20" width="13.5703125" style="41" customWidth="1"/>
    <col min="21" max="21" width="14" style="41" customWidth="1"/>
    <col min="22" max="22" width="14.140625" style="41" customWidth="1"/>
    <col min="23" max="23" width="13" style="41" customWidth="1"/>
    <col min="24" max="24" width="13.7109375" style="41" customWidth="1"/>
    <col min="25" max="25" width="11.42578125" style="41" customWidth="1"/>
    <col min="26" max="16384" width="11.42578125" style="41"/>
  </cols>
  <sheetData>
    <row r="1" spans="1:27" ht="19.5" customHeight="1" x14ac:dyDescent="0.25">
      <c r="A1" s="61" t="s">
        <v>142</v>
      </c>
      <c r="B1" s="46"/>
      <c r="C1" s="46"/>
      <c r="D1" s="46"/>
      <c r="E1" s="46"/>
      <c r="F1" s="52"/>
      <c r="G1" s="68"/>
      <c r="H1" s="46"/>
      <c r="J1" s="98" t="s">
        <v>176</v>
      </c>
      <c r="K1" s="100" t="s">
        <v>36</v>
      </c>
      <c r="L1" s="101" t="s">
        <v>178</v>
      </c>
      <c r="M1" s="276" t="str">
        <f ca="1">"Lifetime = "&amp;K2&amp;" "&amp;L1&amp;" @ "&amp;J2&amp;" "&amp;L2</f>
        <v>Lifetime = 1327.95 µs @ 1.0E+15 cm-3</v>
      </c>
      <c r="N1" s="276"/>
      <c r="O1" s="276"/>
      <c r="P1" s="98"/>
      <c r="Q1" s="197" t="s">
        <v>253</v>
      </c>
      <c r="R1" s="224" t="str">
        <f>IF(MAX(C9:C133)&gt;0.6,"  Saturated Reference Cell  - Data for MCD&gt; "&amp;J4&amp; " not valid ","")</f>
        <v/>
      </c>
      <c r="S1" s="38"/>
      <c r="T1" s="46"/>
      <c r="U1" s="46"/>
      <c r="V1" s="46"/>
      <c r="W1" s="49"/>
      <c r="X1" s="38"/>
      <c r="Y1" s="38"/>
      <c r="Z1" s="38"/>
    </row>
    <row r="2" spans="1:27" ht="14.25" x14ac:dyDescent="0.2">
      <c r="A2" s="197" t="s">
        <v>333</v>
      </c>
      <c r="B2" s="33"/>
      <c r="C2" s="32"/>
      <c r="D2" s="33"/>
      <c r="E2" s="96" t="s">
        <v>15</v>
      </c>
      <c r="F2" s="89">
        <v>41459</v>
      </c>
      <c r="G2" s="38"/>
      <c r="H2" s="50"/>
      <c r="I2" s="98" t="s">
        <v>175</v>
      </c>
      <c r="J2" s="50" t="str">
        <f>TEXT(SpecMCD,"0.0E+00")</f>
        <v>1.0E+15</v>
      </c>
      <c r="K2" s="38" t="str">
        <f ca="1">TEXT(MeasuredLifetime,"0.00")</f>
        <v>1327.95</v>
      </c>
      <c r="L2" s="99" t="s">
        <v>177</v>
      </c>
      <c r="M2" s="38"/>
      <c r="N2" s="50"/>
      <c r="O2" s="38"/>
      <c r="P2" s="33"/>
      <c r="Q2" s="198" t="s">
        <v>254</v>
      </c>
      <c r="R2" s="224" t="str">
        <f>IF(OR(SpecMCD&gt;MaxApparentCD,SpecMCD&lt;MinApparentCD),"  Choose Specificed MCD within Data, Min MCD &lt; Spec MCD &lt; Max MCD","")</f>
        <v/>
      </c>
      <c r="S2" s="38"/>
      <c r="T2" s="46"/>
      <c r="U2" s="46"/>
      <c r="V2" s="46"/>
      <c r="W2" s="51"/>
      <c r="X2" s="38"/>
      <c r="Y2" s="38"/>
      <c r="Z2" s="38"/>
    </row>
    <row r="3" spans="1:27" x14ac:dyDescent="0.2">
      <c r="A3" s="68"/>
      <c r="B3" s="69"/>
      <c r="C3" s="46"/>
      <c r="D3" s="46"/>
      <c r="E3" s="97" t="s">
        <v>19</v>
      </c>
      <c r="F3" s="90">
        <v>0.37710648148148151</v>
      </c>
      <c r="G3" s="38"/>
      <c r="H3" s="38"/>
      <c r="I3" s="99"/>
      <c r="J3" s="98" t="s">
        <v>270</v>
      </c>
      <c r="K3" s="38"/>
      <c r="L3" s="50"/>
      <c r="M3" s="38"/>
      <c r="N3" s="50"/>
      <c r="O3" s="38"/>
      <c r="P3" s="70"/>
      <c r="Q3" s="199" t="s">
        <v>255</v>
      </c>
      <c r="R3" s="224" t="str">
        <f>IF(BiasLight=0,"",IF(MAX(Q9:Q133)=0,"  Choose Bias Light within data  ",""))</f>
        <v/>
      </c>
      <c r="S3" s="38"/>
      <c r="T3" s="46"/>
      <c r="U3" s="46"/>
      <c r="V3" s="46"/>
      <c r="W3" s="51"/>
      <c r="X3" s="38"/>
      <c r="Y3" s="38"/>
      <c r="Z3" s="38"/>
    </row>
    <row r="4" spans="1:27" ht="15.75" customHeight="1" x14ac:dyDescent="0.2">
      <c r="A4" s="52"/>
      <c r="B4" s="46"/>
      <c r="C4" s="38"/>
      <c r="D4" s="52"/>
      <c r="E4" s="38"/>
      <c r="F4" s="46"/>
      <c r="G4" s="38"/>
      <c r="H4" s="38"/>
      <c r="I4" s="38"/>
      <c r="J4" s="46" t="str">
        <f>TEXT(AA6,"0.0E+00")</f>
        <v>0.0E+00</v>
      </c>
      <c r="K4" s="46"/>
      <c r="L4" s="32"/>
      <c r="M4" s="38"/>
      <c r="N4" s="33"/>
      <c r="O4" s="99"/>
      <c r="P4" s="52"/>
      <c r="Q4" s="197" t="s">
        <v>145</v>
      </c>
      <c r="R4" s="225" t="str">
        <f ca="1">IF(OR(Air_Voltage&lt;-0.95,Air_Voltage&gt;-0.5,(NOW()-ZeroInstTime)&gt;0.5,AirVStdev&gt;0.01),"  Remove Sample From Stage and Re-Zero Instrument  ","")</f>
        <v xml:space="preserve">  Remove Sample From Stage and Re-Zero Instrument  </v>
      </c>
      <c r="S4" s="50"/>
      <c r="T4" s="50"/>
      <c r="U4" s="52"/>
      <c r="V4" s="46"/>
      <c r="W4" s="71"/>
      <c r="X4" s="38"/>
      <c r="Y4" s="38"/>
      <c r="Z4" s="38"/>
    </row>
    <row r="5" spans="1:27" ht="43.5" customHeight="1" x14ac:dyDescent="0.25">
      <c r="A5" s="252" t="s">
        <v>155</v>
      </c>
      <c r="B5" s="253" t="s">
        <v>156</v>
      </c>
      <c r="C5" s="253" t="s">
        <v>157</v>
      </c>
      <c r="D5" s="253" t="s">
        <v>16</v>
      </c>
      <c r="E5" s="253" t="s">
        <v>168</v>
      </c>
      <c r="F5" s="253" t="s">
        <v>169</v>
      </c>
      <c r="G5" s="253" t="s">
        <v>31</v>
      </c>
      <c r="H5" s="253" t="s">
        <v>167</v>
      </c>
      <c r="I5" s="254" t="s">
        <v>170</v>
      </c>
      <c r="J5" s="254" t="s">
        <v>172</v>
      </c>
      <c r="K5" s="253" t="s">
        <v>171</v>
      </c>
      <c r="L5" s="253" t="s">
        <v>346</v>
      </c>
      <c r="M5" s="253" t="s">
        <v>348</v>
      </c>
      <c r="N5" s="253" t="s">
        <v>160</v>
      </c>
      <c r="O5" s="253" t="s">
        <v>161</v>
      </c>
      <c r="P5" s="253" t="s">
        <v>339</v>
      </c>
      <c r="Q5" s="253" t="s">
        <v>341</v>
      </c>
      <c r="R5" s="253" t="s">
        <v>342</v>
      </c>
      <c r="S5" s="253" t="s">
        <v>173</v>
      </c>
      <c r="T5" s="253" t="s">
        <v>343</v>
      </c>
      <c r="U5" s="254" t="s">
        <v>344</v>
      </c>
      <c r="V5" s="253" t="s">
        <v>340</v>
      </c>
      <c r="W5" s="253" t="s">
        <v>18</v>
      </c>
      <c r="X5" s="253" t="s">
        <v>3</v>
      </c>
      <c r="Y5" s="253" t="s">
        <v>17</v>
      </c>
      <c r="Z5" s="253" t="s">
        <v>174</v>
      </c>
      <c r="AA5" s="255" t="s">
        <v>268</v>
      </c>
    </row>
    <row r="6" spans="1:27" x14ac:dyDescent="0.2">
      <c r="A6" s="175">
        <f>B166</f>
        <v>1.6819599999999999</v>
      </c>
      <c r="B6" s="80">
        <f>CalcDarkSheetResistance(Dark_Voltage,A_cal,B_cal,C_cal)</f>
        <v>14.83350947029877</v>
      </c>
      <c r="C6" s="81">
        <f>SheetResistance*Thickness</f>
        <v>0.74167547351493857</v>
      </c>
      <c r="D6" s="82">
        <f>calcdoping(InputResistivity,SampleType)</f>
        <v>44279440842219.18</v>
      </c>
      <c r="E6" s="83">
        <f>SpecMCD*(1-Fit_Range)</f>
        <v>700000000000000</v>
      </c>
      <c r="F6" s="83">
        <f>SpecMCD*(1+Fit_Range)</f>
        <v>1300000000000000</v>
      </c>
      <c r="G6" s="80">
        <f>MAX(D9:D133)</f>
        <v>15.350713084502495</v>
      </c>
      <c r="H6" s="83">
        <f>MAX($G$9:$G$132)</f>
        <v>1.1361453349339568E+16</v>
      </c>
      <c r="I6" s="84">
        <f ca="1">OFFSET($A$9,MATCH(MaxApparentCD,$G$9:$G$133,0),0)</f>
        <v>2.4991999999999999E-4</v>
      </c>
      <c r="J6" s="84">
        <f ca="1">OFFSET($F$9,MATCH(MaxApparentCD,$G$9:$G$133,0),0)</f>
        <v>0.10271664980282566</v>
      </c>
      <c r="K6" s="84">
        <f>MIN($G$14:$G$133)</f>
        <v>31212166970794.332</v>
      </c>
      <c r="L6" s="217">
        <f ca="1">IF(MaxSuns&gt;0.1,1000000*1/(O6+(SpecMCD)*N6),0)</f>
        <v>1327.9461994135909</v>
      </c>
      <c r="M6" s="217">
        <f ca="1">L6/1000000</f>
        <v>1.3279461994135909E-3</v>
      </c>
      <c r="N6" s="217">
        <f ca="1">IF(MAX(N10:N131)=0,0,SLOPE(N10:N131,H10:H131))</f>
        <v>5.8897845850291859E-13</v>
      </c>
      <c r="O6" s="80">
        <f ca="1">IF(MAX(N10:N131)=0,0,INTERCEPT(N10:N130,H10:H130))</f>
        <v>164.06409731868848</v>
      </c>
      <c r="P6" s="256">
        <f ca="1">IF(MaxSuns&gt;0.1,1000000*1/(FitInterceptAuger+(SpecMCD)*FitSlopeAuger),0)</f>
        <v>1330.9507444261028</v>
      </c>
      <c r="Q6" s="84">
        <f ca="1">MeasuredLifetimeAuger/1000000</f>
        <v>1.3309507444261028E-3</v>
      </c>
      <c r="R6" s="84">
        <f ca="1">IF(MeasuredLifetimeAuger&gt;0,1000000/MeasuredLifetimeAuger,0)</f>
        <v>751.34260541789877</v>
      </c>
      <c r="S6" s="84">
        <f ca="1">SpecMCD-Traps</f>
        <v>1000000000000000</v>
      </c>
      <c r="T6" s="86">
        <f ca="1">IF(MAX(P10:P131)=0,0,SLOPE(P10:P131,H10:H131))</f>
        <v>5.8574542357346088E-13</v>
      </c>
      <c r="U6" s="217">
        <f ca="1">IF(MAX(P10:P131)=0,0,INTERCEPT(P10:P130,H10:H130))</f>
        <v>165.59718184443784</v>
      </c>
      <c r="V6" s="87">
        <f ca="1">IF(MaxSuns&gt;0.1,1000000/(FitInterceptAuger-(FitSlopeAuger*(SampleDoping-Traps))),0)</f>
        <v>7160.2103210747828</v>
      </c>
      <c r="W6" s="84">
        <f ca="1">FitSlopeAuger*11.85*Thickness</f>
        <v>3.4705416346727559E-13</v>
      </c>
      <c r="X6" s="83">
        <f>IF(BiasLight=0,0,INTERCEPT($R18:$R130,$Q18:$Q130)+BiasLight*SLOPE($R18:$R130,$Q18:$Q130))</f>
        <v>0</v>
      </c>
      <c r="Y6" s="83">
        <f ca="1">BiasPtCD-(BiasLight*0.038*OptConst)*MeasuredLifetimeAuger*0.000001/(1.6E-19*Thickness)</f>
        <v>0</v>
      </c>
      <c r="Z6" s="85" t="e">
        <f ca="1">FORECAST(1,OFFSET(V9,MATCH(1,W9:W133,-1)-1,0,2),OFFSET(W9,MATCH(1,W9:W133,-1)-1,0,2))</f>
        <v>#NAME?</v>
      </c>
      <c r="AA6" s="88">
        <f>MIN(X9:X133)</f>
        <v>0</v>
      </c>
    </row>
    <row r="7" spans="1:27" s="38" customFormat="1" x14ac:dyDescent="0.2">
      <c r="A7" s="74"/>
      <c r="B7" s="46"/>
      <c r="C7" s="46"/>
      <c r="D7" s="74"/>
      <c r="K7" s="72"/>
      <c r="L7" s="73"/>
      <c r="M7" s="50"/>
      <c r="O7" s="50"/>
      <c r="S7" s="75"/>
      <c r="T7" s="74"/>
      <c r="U7" s="46"/>
      <c r="V7" s="46"/>
      <c r="W7" s="76"/>
    </row>
    <row r="8" spans="1:27" ht="42" customHeight="1" x14ac:dyDescent="0.2">
      <c r="A8" s="94" t="s">
        <v>332</v>
      </c>
      <c r="B8" s="95" t="s">
        <v>55</v>
      </c>
      <c r="C8" s="92" t="s">
        <v>56</v>
      </c>
      <c r="D8" s="92" t="s">
        <v>4</v>
      </c>
      <c r="E8" s="92" t="s">
        <v>10</v>
      </c>
      <c r="F8" s="93" t="s">
        <v>47</v>
      </c>
      <c r="G8" s="92" t="s">
        <v>164</v>
      </c>
      <c r="H8" s="92" t="s">
        <v>158</v>
      </c>
      <c r="I8" s="92" t="s">
        <v>5</v>
      </c>
      <c r="J8" s="92" t="s">
        <v>8</v>
      </c>
      <c r="K8" s="92" t="s">
        <v>12</v>
      </c>
      <c r="L8" s="92" t="s">
        <v>166</v>
      </c>
      <c r="M8" s="93" t="s">
        <v>159</v>
      </c>
      <c r="N8" s="93" t="s">
        <v>345</v>
      </c>
      <c r="O8" s="92" t="s">
        <v>165</v>
      </c>
      <c r="P8" s="93" t="s">
        <v>347</v>
      </c>
      <c r="Q8" s="92" t="s">
        <v>7</v>
      </c>
      <c r="R8" s="92" t="s">
        <v>163</v>
      </c>
      <c r="S8" s="92" t="s">
        <v>162</v>
      </c>
      <c r="T8" s="92" t="s">
        <v>11</v>
      </c>
      <c r="U8" s="92" t="s">
        <v>6</v>
      </c>
      <c r="V8" s="92" t="s">
        <v>338</v>
      </c>
      <c r="W8" s="93" t="s">
        <v>337</v>
      </c>
      <c r="X8" s="223" t="s">
        <v>269</v>
      </c>
    </row>
    <row r="9" spans="1:27" x14ac:dyDescent="0.2">
      <c r="A9" s="53">
        <v>4.9920000000000003E-5</v>
      </c>
      <c r="B9" s="53">
        <v>1.60948</v>
      </c>
      <c r="C9" s="54">
        <v>0.16661899999999999</v>
      </c>
      <c r="D9" s="55">
        <f t="shared" ref="D9:D40" si="0">IF(C9&gt;0,C9/RefCellCal,0.00001)</f>
        <v>15.350713084502495</v>
      </c>
      <c r="E9" s="55">
        <f t="shared" ref="E9:E40" si="1">D9-BiasLight</f>
        <v>15.350713084502495</v>
      </c>
      <c r="F9" s="77">
        <f t="shared" ref="F9:F40" si="2">CalcConductance(B9,Dark_Voltage,A_cal,B_cal,C_cal)</f>
        <v>4.9766001573901333E-2</v>
      </c>
      <c r="G9" s="56">
        <f t="shared" ref="G9:G40" si="3">CalcDeltaN(F9,SampleDoping,Thickness,AreaFrac)</f>
        <v>3648489763249337</v>
      </c>
      <c r="H9" s="56" t="str">
        <f t="shared" ref="H9:H40" ca="1" si="4">IF(AND(AND(G9&gt;=FitRangeMin,G9&lt;=FitRangeMax),A9&gt;TimeofMaxCD),G9,"")</f>
        <v/>
      </c>
      <c r="I9" s="56">
        <f t="shared" ref="I9:I40" si="5">E9*0.038*OptConst/1.6E-19</f>
        <v>3.4999625832665687E+18</v>
      </c>
      <c r="J9" s="56">
        <f t="shared" ref="J9:J40" si="6">IF(G9-BiasPtCD=0,0.00001,G9-BiasPtCD)</f>
        <v>3648489763249337</v>
      </c>
      <c r="K9" s="51"/>
      <c r="L9" s="56"/>
      <c r="M9" s="38"/>
      <c r="O9" s="57"/>
      <c r="P9" s="38"/>
      <c r="Q9" s="46" t="str">
        <f t="shared" ref="Q9:Q40" si="7">IF(D9&gt;0.85*BiasLight,IF( D9&lt;1.15*BiasLight,D9,""),"")</f>
        <v/>
      </c>
      <c r="R9" s="46" t="str">
        <f t="shared" ref="R9:R40" si="8">IF(D9&gt;0.85*BiasLight,IF(D9&lt;1.15*BiasLight,G9,""),"")</f>
        <v/>
      </c>
      <c r="S9" s="57">
        <f t="shared" ref="S9:S40" ca="1" si="9">FitInterceptAuger+FitSlopeAuger*(G9+Traps)</f>
        <v>2302.6833636223569</v>
      </c>
      <c r="T9" s="51">
        <f t="shared" ref="T9:T40" ca="1" si="10">G9-Traps</f>
        <v>3648489763249337</v>
      </c>
      <c r="U9" s="58">
        <f>IF(CouplingMode="AC",B9-(A$11-A$10)*SUM(B$9:B9)/0.21,B9)</f>
        <v>1.60948</v>
      </c>
      <c r="V9" s="58" t="e">
        <f ca="1">IF(G9&gt;Traps,CalcImpliedV(SampleDoping,T9),0.1)</f>
        <v>#NAME?</v>
      </c>
      <c r="W9" s="37" t="str">
        <f t="shared" ref="W9:W40" si="11">IF(OR(L9="",L9&lt;0),"",(T9*Thickness*1.602E-19/(0.038*OptConst*L9)))</f>
        <v/>
      </c>
      <c r="X9" s="41" t="str">
        <f t="shared" ref="X9:X40" si="12">IF(C9&gt;0.6,T9,"")</f>
        <v/>
      </c>
    </row>
    <row r="10" spans="1:27" x14ac:dyDescent="0.2">
      <c r="A10" s="53">
        <v>1.4992E-4</v>
      </c>
      <c r="B10" s="53">
        <v>4.25258</v>
      </c>
      <c r="C10" s="54">
        <v>0.103786</v>
      </c>
      <c r="D10" s="55">
        <f t="shared" si="0"/>
        <v>9.5618693437613729</v>
      </c>
      <c r="E10" s="55">
        <f t="shared" si="1"/>
        <v>9.5618693437613729</v>
      </c>
      <c r="F10" s="77">
        <f t="shared" si="2"/>
        <v>0.1433083420944499</v>
      </c>
      <c r="G10" s="56">
        <f t="shared" si="3"/>
        <v>1.1361453349339568E+16</v>
      </c>
      <c r="H10" s="56" t="str">
        <f t="shared" ca="1" si="4"/>
        <v/>
      </c>
      <c r="I10" s="56">
        <f t="shared" si="5"/>
        <v>2.1801062103775928E+18</v>
      </c>
      <c r="J10" s="56">
        <f t="shared" si="6"/>
        <v>1.1361453349339568E+16</v>
      </c>
      <c r="K10" s="51"/>
      <c r="L10" s="56"/>
      <c r="M10" s="38"/>
      <c r="O10" s="57"/>
      <c r="P10" s="99"/>
      <c r="Q10" s="46" t="str">
        <f t="shared" si="7"/>
        <v/>
      </c>
      <c r="R10" s="46" t="str">
        <f t="shared" si="8"/>
        <v/>
      </c>
      <c r="S10" s="57">
        <f t="shared" ca="1" si="9"/>
        <v>6820.5164863634591</v>
      </c>
      <c r="T10" s="51">
        <f t="shared" ca="1" si="10"/>
        <v>1.1361453349339568E+16</v>
      </c>
      <c r="U10" s="58">
        <f>IF(CouplingMode="AC",B10-(A$11-A$10)*SUM(B$9:B10)/0.21,B10)</f>
        <v>4.25258</v>
      </c>
      <c r="V10" s="58" t="e">
        <f ca="1">IF(G10&gt;Traps,CalcImpliedV(SampleDoping,T10),0.1)</f>
        <v>#NAME?</v>
      </c>
      <c r="W10" s="37" t="str">
        <f t="shared" si="11"/>
        <v/>
      </c>
      <c r="X10" s="41" t="str">
        <f t="shared" si="12"/>
        <v/>
      </c>
    </row>
    <row r="11" spans="1:27" x14ac:dyDescent="0.2">
      <c r="A11" s="53">
        <v>2.4991999999999999E-4</v>
      </c>
      <c r="B11" s="53">
        <v>3.1560100000000002</v>
      </c>
      <c r="C11" s="54">
        <v>3.26393E-3</v>
      </c>
      <c r="D11" s="55">
        <f t="shared" si="0"/>
        <v>0.30070792021258219</v>
      </c>
      <c r="E11" s="55">
        <f t="shared" si="1"/>
        <v>0.30070792021258219</v>
      </c>
      <c r="F11" s="77">
        <f t="shared" si="2"/>
        <v>0.10271664980282566</v>
      </c>
      <c r="G11" s="56">
        <f t="shared" si="3"/>
        <v>7882594165308859</v>
      </c>
      <c r="H11" s="56" t="str">
        <f t="shared" ca="1" si="4"/>
        <v/>
      </c>
      <c r="I11" s="56">
        <f t="shared" si="5"/>
        <v>6.8561405808468736E+16</v>
      </c>
      <c r="J11" s="56">
        <f t="shared" si="6"/>
        <v>7882594165308859</v>
      </c>
      <c r="K11" s="51">
        <f t="shared" ref="K11:K42" si="13">IF(ABS(SLOPE(J9:J13,A9:A13))&lt;1000000000000,-1000000000000,(SLOPE(J9:J13,A9:A13)))</f>
        <v>-4.7237033791169034E+18</v>
      </c>
      <c r="L11" s="56">
        <f t="shared" ref="L11:L42" si="14">CalcLifetime(AnalysisMode,J11,Thickness,I11,K11)</f>
        <v>1.6687318259984627E-3</v>
      </c>
      <c r="M11" s="38"/>
      <c r="O11" s="57">
        <f t="shared" ref="O11:O42" si="15">IF(AND(D11&gt;0.95*BiasLight,D11&lt;1.05*BiasLight),"",(1/L11)-(G11*G11)*Auger_Coefficient)</f>
        <v>496.11288002879951</v>
      </c>
      <c r="P11" s="38"/>
      <c r="Q11" s="46" t="str">
        <f t="shared" si="7"/>
        <v/>
      </c>
      <c r="R11" s="46" t="str">
        <f t="shared" si="8"/>
        <v/>
      </c>
      <c r="S11" s="57">
        <f t="shared" ca="1" si="9"/>
        <v>4782.7906400609663</v>
      </c>
      <c r="T11" s="51">
        <f t="shared" ca="1" si="10"/>
        <v>7882594165308859</v>
      </c>
      <c r="U11" s="58">
        <f>IF(CouplingMode="AC",B11-(A$11-A$10)*SUM(B$9:B11)/0.21,B11)</f>
        <v>3.1560100000000002</v>
      </c>
      <c r="V11" s="58" t="e">
        <f ca="1">IF(G11&gt;Traps,CalcImpliedV(SampleDoping,T11),0.1)</f>
        <v>#NAME?</v>
      </c>
      <c r="W11" s="37">
        <f t="shared" ca="1" si="11"/>
        <v>1.0371947386712281</v>
      </c>
      <c r="X11" s="41" t="str">
        <f t="shared" si="12"/>
        <v/>
      </c>
    </row>
    <row r="12" spans="1:27" x14ac:dyDescent="0.2">
      <c r="A12" s="53">
        <v>3.4991999999999998E-4</v>
      </c>
      <c r="B12" s="53">
        <v>2.3313899999999999</v>
      </c>
      <c r="C12" s="54">
        <v>-4.60153E-5</v>
      </c>
      <c r="D12" s="55">
        <f t="shared" si="0"/>
        <v>1.0000000000000001E-5</v>
      </c>
      <c r="E12" s="55">
        <f t="shared" si="1"/>
        <v>1.0000000000000001E-5</v>
      </c>
      <c r="F12" s="77">
        <f t="shared" si="2"/>
        <v>7.3857193609617539E-2</v>
      </c>
      <c r="G12" s="56">
        <f t="shared" si="3"/>
        <v>5531724802090750</v>
      </c>
      <c r="H12" s="56" t="str">
        <f t="shared" ca="1" si="4"/>
        <v/>
      </c>
      <c r="I12" s="56">
        <f t="shared" si="5"/>
        <v>2280000000000</v>
      </c>
      <c r="J12" s="56">
        <f t="shared" si="6"/>
        <v>5531724802090750</v>
      </c>
      <c r="K12" s="51">
        <f t="shared" si="13"/>
        <v>-1.9672576921918542E+19</v>
      </c>
      <c r="L12" s="56">
        <f t="shared" si="14"/>
        <v>2.8118963896018537E-4</v>
      </c>
      <c r="M12" s="38" t="str">
        <f t="shared" ref="M12:M43" ca="1" si="16">IF($H12="","",L12)</f>
        <v/>
      </c>
      <c r="N12" s="41" t="str">
        <f ca="1">IF(M12="","",1/M12)</f>
        <v/>
      </c>
      <c r="O12" s="57">
        <f t="shared" si="15"/>
        <v>3505.5228365213411</v>
      </c>
      <c r="P12" s="38" t="str">
        <f t="shared" ref="P12:P43" ca="1" si="17">IF($H12="","",O12)</f>
        <v/>
      </c>
      <c r="Q12" s="46" t="str">
        <f t="shared" si="7"/>
        <v/>
      </c>
      <c r="R12" s="46" t="str">
        <f t="shared" si="8"/>
        <v/>
      </c>
      <c r="S12" s="57">
        <f t="shared" ca="1" si="9"/>
        <v>3405.7796691369031</v>
      </c>
      <c r="T12" s="51">
        <f t="shared" ca="1" si="10"/>
        <v>5531724802090750</v>
      </c>
      <c r="U12" s="58">
        <f>IF(CouplingMode="AC",B12-(A$11-A$10)*SUM(B$9:B12)/0.21,B12)</f>
        <v>2.3313899999999999</v>
      </c>
      <c r="V12" s="58" t="e">
        <f ca="1">IF(G12&gt;Traps,CalcImpliedV(SampleDoping,T12),0.1)</f>
        <v>#NAME?</v>
      </c>
      <c r="W12" s="37">
        <f t="shared" ca="1" si="11"/>
        <v>4.3195543076909964</v>
      </c>
      <c r="X12" s="41" t="str">
        <f t="shared" si="12"/>
        <v/>
      </c>
    </row>
    <row r="13" spans="1:27" x14ac:dyDescent="0.2">
      <c r="A13" s="53">
        <v>4.4991999999999997E-4</v>
      </c>
      <c r="B13" s="53">
        <v>1.82786</v>
      </c>
      <c r="C13" s="54">
        <v>1.66661E-4</v>
      </c>
      <c r="D13" s="55">
        <f t="shared" si="0"/>
        <v>1.5354582570872893E-2</v>
      </c>
      <c r="E13" s="55">
        <f t="shared" si="1"/>
        <v>1.5354582570872893E-2</v>
      </c>
      <c r="F13" s="77">
        <f t="shared" si="2"/>
        <v>5.6938063087729668E-2</v>
      </c>
      <c r="G13" s="56">
        <f t="shared" si="3"/>
        <v>4201502347315294.5</v>
      </c>
      <c r="H13" s="56" t="str">
        <f t="shared" ca="1" si="4"/>
        <v/>
      </c>
      <c r="I13" s="56">
        <f t="shared" si="5"/>
        <v>3500844826159019</v>
      </c>
      <c r="J13" s="56">
        <f t="shared" si="6"/>
        <v>4201502347315294.5</v>
      </c>
      <c r="K13" s="51">
        <f t="shared" si="13"/>
        <v>-1.233938812037827E+19</v>
      </c>
      <c r="L13" s="56">
        <f t="shared" si="14"/>
        <v>3.4049519362930092E-4</v>
      </c>
      <c r="M13" s="38" t="str">
        <f t="shared" ca="1" si="16"/>
        <v/>
      </c>
      <c r="N13" s="41" t="str">
        <f t="shared" ref="N13:N76" ca="1" si="18">IF(M13="","",1/M13)</f>
        <v/>
      </c>
      <c r="O13" s="57">
        <f t="shared" si="15"/>
        <v>2907.5956660991033</v>
      </c>
      <c r="P13" s="38" t="str">
        <f t="shared" ca="1" si="17"/>
        <v/>
      </c>
      <c r="Q13" s="46" t="str">
        <f t="shared" si="7"/>
        <v/>
      </c>
      <c r="R13" s="46" t="str">
        <f t="shared" si="8"/>
        <v/>
      </c>
      <c r="S13" s="57">
        <f t="shared" ca="1" si="9"/>
        <v>2626.6079539175253</v>
      </c>
      <c r="T13" s="51">
        <f t="shared" ca="1" si="10"/>
        <v>4201502347315294.5</v>
      </c>
      <c r="U13" s="58">
        <f>IF(CouplingMode="AC",B13-(A$11-A$10)*SUM(B$9:B13)/0.21,B13)</f>
        <v>1.82786</v>
      </c>
      <c r="V13" s="58" t="e">
        <f ca="1">IF(G13&gt;Traps,CalcImpliedV(SampleDoping,T13),0.1)</f>
        <v>#NAME?</v>
      </c>
      <c r="W13" s="37">
        <f t="shared" ca="1" si="11"/>
        <v>2.709388674458058</v>
      </c>
      <c r="X13" s="41" t="str">
        <f t="shared" si="12"/>
        <v/>
      </c>
    </row>
    <row r="14" spans="1:27" x14ac:dyDescent="0.2">
      <c r="A14" s="53">
        <v>5.4991999999999997E-4</v>
      </c>
      <c r="B14" s="53">
        <v>1.49559</v>
      </c>
      <c r="C14" s="54">
        <v>6.3359699999999996E-5</v>
      </c>
      <c r="D14" s="55">
        <f t="shared" si="0"/>
        <v>5.8373689424384536E-3</v>
      </c>
      <c r="E14" s="55">
        <f t="shared" si="1"/>
        <v>5.8373689424384536E-3</v>
      </c>
      <c r="F14" s="77">
        <f t="shared" si="2"/>
        <v>4.606539518335194E-2</v>
      </c>
      <c r="G14" s="56">
        <f t="shared" si="3"/>
        <v>3365710797377079.5</v>
      </c>
      <c r="H14" s="56" t="str">
        <f t="shared" ca="1" si="4"/>
        <v/>
      </c>
      <c r="I14" s="56">
        <f t="shared" si="5"/>
        <v>1330920118875967.5</v>
      </c>
      <c r="J14" s="56">
        <f t="shared" si="6"/>
        <v>3365710797377079.5</v>
      </c>
      <c r="K14" s="51">
        <f t="shared" si="13"/>
        <v>-7.7042105825601106E+18</v>
      </c>
      <c r="L14" s="56">
        <f t="shared" si="14"/>
        <v>4.3686640718206498E-4</v>
      </c>
      <c r="M14" s="38" t="str">
        <f t="shared" ca="1" si="16"/>
        <v/>
      </c>
      <c r="N14" s="41" t="str">
        <f t="shared" ca="1" si="18"/>
        <v/>
      </c>
      <c r="O14" s="57">
        <f t="shared" si="15"/>
        <v>2270.2247905248769</v>
      </c>
      <c r="P14" s="38" t="str">
        <f t="shared" ca="1" si="17"/>
        <v/>
      </c>
      <c r="Q14" s="46" t="str">
        <f t="shared" si="7"/>
        <v/>
      </c>
      <c r="R14" s="46" t="str">
        <f t="shared" si="8"/>
        <v/>
      </c>
      <c r="S14" s="57">
        <f t="shared" ca="1" si="9"/>
        <v>2137.0468784798459</v>
      </c>
      <c r="T14" s="51">
        <f t="shared" ca="1" si="10"/>
        <v>3365710797377079.5</v>
      </c>
      <c r="U14" s="58">
        <f>IF(CouplingMode="AC",B14-(A$11-A$10)*SUM(B$9:B14)/0.21,B14)</f>
        <v>1.49559</v>
      </c>
      <c r="V14" s="58" t="e">
        <f ca="1">IF(G14&gt;Traps,CalcImpliedV(SampleDoping,T14),0.1)</f>
        <v>#NAME?</v>
      </c>
      <c r="W14" s="37">
        <f t="shared" ca="1" si="11"/>
        <v>1.6916317644272614</v>
      </c>
      <c r="X14" s="41" t="str">
        <f t="shared" si="12"/>
        <v/>
      </c>
    </row>
    <row r="15" spans="1:27" x14ac:dyDescent="0.2">
      <c r="A15" s="53">
        <v>6.4992000000000001E-4</v>
      </c>
      <c r="B15" s="53">
        <v>1.2612699999999999</v>
      </c>
      <c r="C15" s="54">
        <v>3.5957400000000002E-5</v>
      </c>
      <c r="D15" s="55">
        <f t="shared" si="0"/>
        <v>3.3127778384499373E-3</v>
      </c>
      <c r="E15" s="55">
        <f t="shared" si="1"/>
        <v>3.3127778384499373E-3</v>
      </c>
      <c r="F15" s="77">
        <f t="shared" si="2"/>
        <v>3.8537455044555136E-2</v>
      </c>
      <c r="G15" s="56">
        <f t="shared" si="3"/>
        <v>2795907107476559</v>
      </c>
      <c r="H15" s="56" t="str">
        <f t="shared" ca="1" si="4"/>
        <v/>
      </c>
      <c r="I15" s="56">
        <f t="shared" si="5"/>
        <v>755313347166585.75</v>
      </c>
      <c r="J15" s="56">
        <f t="shared" si="6"/>
        <v>2795907107476559</v>
      </c>
      <c r="K15" s="51">
        <f t="shared" si="13"/>
        <v>-5.24973854956527E+18</v>
      </c>
      <c r="L15" s="56">
        <f t="shared" si="14"/>
        <v>5.325802572983539E-4</v>
      </c>
      <c r="M15" s="38" t="str">
        <f t="shared" ca="1" si="16"/>
        <v/>
      </c>
      <c r="N15" s="41" t="str">
        <f t="shared" ca="1" si="18"/>
        <v/>
      </c>
      <c r="O15" s="57">
        <f t="shared" si="15"/>
        <v>1864.6748963055443</v>
      </c>
      <c r="P15" s="38" t="str">
        <f t="shared" ca="1" si="17"/>
        <v/>
      </c>
      <c r="Q15" s="46" t="str">
        <f t="shared" si="7"/>
        <v/>
      </c>
      <c r="R15" s="46" t="str">
        <f t="shared" si="8"/>
        <v/>
      </c>
      <c r="S15" s="57">
        <f t="shared" ca="1" si="9"/>
        <v>1803.2869747853447</v>
      </c>
      <c r="T15" s="51">
        <f t="shared" ca="1" si="10"/>
        <v>2795907107476559</v>
      </c>
      <c r="U15" s="58">
        <f>IF(CouplingMode="AC",B15-(A$11-A$10)*SUM(B$9:B15)/0.21,B15)</f>
        <v>1.2612699999999999</v>
      </c>
      <c r="V15" s="58" t="e">
        <f ca="1">IF(G15&gt;Traps,CalcImpliedV(SampleDoping,T15),0.1)</f>
        <v>#NAME?</v>
      </c>
      <c r="W15" s="37">
        <f t="shared" ca="1" si="11"/>
        <v>1.152697526919348</v>
      </c>
      <c r="X15" s="41" t="str">
        <f t="shared" si="12"/>
        <v/>
      </c>
    </row>
    <row r="16" spans="1:27" x14ac:dyDescent="0.2">
      <c r="A16" s="53">
        <v>7.4991999999999995E-4</v>
      </c>
      <c r="B16" s="53">
        <v>1.08697</v>
      </c>
      <c r="C16" s="54">
        <v>1.9453499999999999E-5</v>
      </c>
      <c r="D16" s="55">
        <f t="shared" si="0"/>
        <v>1.7922631692026078E-3</v>
      </c>
      <c r="E16" s="55">
        <f t="shared" si="1"/>
        <v>1.7922631692026078E-3</v>
      </c>
      <c r="F16" s="77">
        <f t="shared" si="2"/>
        <v>3.3012636342588539E-2</v>
      </c>
      <c r="G16" s="56">
        <f t="shared" si="3"/>
        <v>2382417130730062.5</v>
      </c>
      <c r="H16" s="56" t="str">
        <f t="shared" ca="1" si="4"/>
        <v/>
      </c>
      <c r="I16" s="56">
        <f t="shared" si="5"/>
        <v>408636002578194.62</v>
      </c>
      <c r="J16" s="56">
        <f t="shared" si="6"/>
        <v>2382417130730062.5</v>
      </c>
      <c r="K16" s="51">
        <f t="shared" si="13"/>
        <v>-3.813417658848383E+18</v>
      </c>
      <c r="L16" s="56">
        <f t="shared" si="14"/>
        <v>6.2474592186409776E-4</v>
      </c>
      <c r="M16" s="38" t="str">
        <f t="shared" ca="1" si="16"/>
        <v/>
      </c>
      <c r="N16" s="41" t="str">
        <f t="shared" ca="1" si="18"/>
        <v/>
      </c>
      <c r="O16" s="57">
        <f t="shared" si="15"/>
        <v>1591.2286916568289</v>
      </c>
      <c r="P16" s="38" t="str">
        <f t="shared" ca="1" si="17"/>
        <v/>
      </c>
      <c r="Q16" s="46" t="str">
        <f t="shared" si="7"/>
        <v/>
      </c>
      <c r="R16" s="46" t="str">
        <f t="shared" si="8"/>
        <v/>
      </c>
      <c r="S16" s="57">
        <f t="shared" ca="1" si="9"/>
        <v>1561.0871132125876</v>
      </c>
      <c r="T16" s="51">
        <f t="shared" ca="1" si="10"/>
        <v>2382417130730062.5</v>
      </c>
      <c r="U16" s="58">
        <f>IF(CouplingMode="AC",B16-(A$11-A$10)*SUM(B$9:B16)/0.21,B16)</f>
        <v>1.08697</v>
      </c>
      <c r="V16" s="58" t="e">
        <f ca="1">IF(G16&gt;Traps,CalcImpliedV(SampleDoping,T16),0.1)</f>
        <v>#NAME?</v>
      </c>
      <c r="W16" s="37">
        <f t="shared" ca="1" si="11"/>
        <v>0.83732114713200512</v>
      </c>
      <c r="X16" s="41" t="str">
        <f t="shared" si="12"/>
        <v/>
      </c>
    </row>
    <row r="17" spans="1:24" x14ac:dyDescent="0.2">
      <c r="A17" s="53">
        <v>8.4991999999999999E-4</v>
      </c>
      <c r="B17" s="53">
        <v>0.95201599999999997</v>
      </c>
      <c r="C17" s="54">
        <v>5.93787E-6</v>
      </c>
      <c r="D17" s="55">
        <f t="shared" si="0"/>
        <v>5.4705969129015795E-4</v>
      </c>
      <c r="E17" s="55">
        <f t="shared" si="1"/>
        <v>5.4705969129015795E-4</v>
      </c>
      <c r="F17" s="77">
        <f t="shared" si="2"/>
        <v>2.8778849663560424E-2</v>
      </c>
      <c r="G17" s="56">
        <f t="shared" si="3"/>
        <v>2068279905856168</v>
      </c>
      <c r="H17" s="56" t="str">
        <f t="shared" ca="1" si="4"/>
        <v/>
      </c>
      <c r="I17" s="56">
        <f t="shared" si="5"/>
        <v>124729609614156</v>
      </c>
      <c r="J17" s="56">
        <f t="shared" si="6"/>
        <v>2068279905856168</v>
      </c>
      <c r="K17" s="51">
        <f t="shared" si="13"/>
        <v>-2.8996370097075476E+18</v>
      </c>
      <c r="L17" s="56">
        <f t="shared" si="14"/>
        <v>7.1328924928598951E-4</v>
      </c>
      <c r="M17" s="38" t="str">
        <f t="shared" ca="1" si="16"/>
        <v/>
      </c>
      <c r="N17" s="41" t="str">
        <f t="shared" ca="1" si="18"/>
        <v/>
      </c>
      <c r="O17" s="57">
        <f t="shared" si="15"/>
        <v>1394.8546821034947</v>
      </c>
      <c r="P17" s="38" t="str">
        <f t="shared" ca="1" si="17"/>
        <v/>
      </c>
      <c r="Q17" s="46" t="str">
        <f t="shared" si="7"/>
        <v/>
      </c>
      <c r="R17" s="46" t="str">
        <f t="shared" si="8"/>
        <v/>
      </c>
      <c r="S17" s="57">
        <f t="shared" ca="1" si="9"/>
        <v>1377.082671368637</v>
      </c>
      <c r="T17" s="51">
        <f t="shared" ca="1" si="10"/>
        <v>2068279905856168</v>
      </c>
      <c r="U17" s="58">
        <f>IF(CouplingMode="AC",B17-(A$11-A$10)*SUM(B$9:B17)/0.21,B17)</f>
        <v>0.95201599999999997</v>
      </c>
      <c r="V17" s="58" t="e">
        <f ca="1">IF(G17&gt;Traps,CalcImpliedV(SampleDoping,T17),0.1)</f>
        <v>#NAME?</v>
      </c>
      <c r="W17" s="37">
        <f t="shared" ca="1" si="11"/>
        <v>0.63668016578282505</v>
      </c>
      <c r="X17" s="41" t="str">
        <f t="shared" si="12"/>
        <v/>
      </c>
    </row>
    <row r="18" spans="1:24" x14ac:dyDescent="0.2">
      <c r="A18" s="53">
        <v>9.4992000000000004E-4</v>
      </c>
      <c r="B18" s="53">
        <v>0.84497100000000003</v>
      </c>
      <c r="C18" s="54">
        <v>-7.6135199999999997E-7</v>
      </c>
      <c r="D18" s="55">
        <f t="shared" si="0"/>
        <v>1.0000000000000001E-5</v>
      </c>
      <c r="E18" s="55">
        <f t="shared" si="1"/>
        <v>1.0000000000000001E-5</v>
      </c>
      <c r="F18" s="77">
        <f t="shared" si="2"/>
        <v>2.5447859020269303E-2</v>
      </c>
      <c r="G18" s="56">
        <f t="shared" si="3"/>
        <v>1822815568763083.2</v>
      </c>
      <c r="H18" s="56" t="str">
        <f t="shared" ca="1" si="4"/>
        <v/>
      </c>
      <c r="I18" s="56">
        <f t="shared" si="5"/>
        <v>2280000000000</v>
      </c>
      <c r="J18" s="56">
        <f t="shared" si="6"/>
        <v>1822815568763083.2</v>
      </c>
      <c r="K18" s="51">
        <f t="shared" si="13"/>
        <v>-2.2785509753620887E+18</v>
      </c>
      <c r="L18" s="56">
        <f t="shared" si="14"/>
        <v>7.9998893528086042E-4</v>
      </c>
      <c r="M18" s="38" t="str">
        <f t="shared" ca="1" si="16"/>
        <v/>
      </c>
      <c r="N18" s="41" t="str">
        <f t="shared" ca="1" si="18"/>
        <v/>
      </c>
      <c r="O18" s="57">
        <f t="shared" si="15"/>
        <v>1244.5016789105523</v>
      </c>
      <c r="P18" s="38" t="str">
        <f t="shared" ca="1" si="17"/>
        <v/>
      </c>
      <c r="Q18" s="46" t="str">
        <f t="shared" si="7"/>
        <v/>
      </c>
      <c r="R18" s="46" t="str">
        <f t="shared" si="8"/>
        <v/>
      </c>
      <c r="S18" s="57">
        <f t="shared" ca="1" si="9"/>
        <v>1233.3030592658693</v>
      </c>
      <c r="T18" s="51">
        <f t="shared" ca="1" si="10"/>
        <v>1822815568763083.2</v>
      </c>
      <c r="U18" s="58">
        <f>IF(CouplingMode="AC",B18-(A$11-A$10)*SUM(B$9:B18)/0.21,B18)</f>
        <v>0.84497100000000003</v>
      </c>
      <c r="V18" s="58" t="e">
        <f ca="1">IF(G18&gt;Traps,CalcImpliedV(SampleDoping,T18),0.1)</f>
        <v>#NAME?</v>
      </c>
      <c r="W18" s="37">
        <f t="shared" ca="1" si="11"/>
        <v>0.50030683422835343</v>
      </c>
      <c r="X18" s="41" t="str">
        <f t="shared" si="12"/>
        <v/>
      </c>
    </row>
    <row r="19" spans="1:24" x14ac:dyDescent="0.2">
      <c r="A19" s="53">
        <v>1.04992E-3</v>
      </c>
      <c r="B19" s="53">
        <v>0.75804499999999997</v>
      </c>
      <c r="C19" s="54">
        <v>5.8630400000000001E-7</v>
      </c>
      <c r="D19" s="55">
        <f t="shared" si="0"/>
        <v>5.4016555640690149E-5</v>
      </c>
      <c r="E19" s="55">
        <f t="shared" si="1"/>
        <v>5.4016555640690149E-5</v>
      </c>
      <c r="F19" s="77">
        <f t="shared" si="2"/>
        <v>2.2760650270463811E-2</v>
      </c>
      <c r="G19" s="56">
        <f t="shared" si="3"/>
        <v>1625889383606275</v>
      </c>
      <c r="H19" s="56" t="str">
        <f t="shared" ca="1" si="4"/>
        <v/>
      </c>
      <c r="I19" s="56">
        <f t="shared" si="5"/>
        <v>12315774686077.352</v>
      </c>
      <c r="J19" s="56">
        <f t="shared" si="6"/>
        <v>1625889383606275</v>
      </c>
      <c r="K19" s="51">
        <f t="shared" si="13"/>
        <v>-1.8357039639455644E+18</v>
      </c>
      <c r="L19" s="56">
        <f t="shared" si="14"/>
        <v>8.8570347699836903E-4</v>
      </c>
      <c r="M19" s="38" t="str">
        <f t="shared" ca="1" si="16"/>
        <v/>
      </c>
      <c r="N19" s="41" t="str">
        <f t="shared" ca="1" si="18"/>
        <v/>
      </c>
      <c r="O19" s="57">
        <f t="shared" si="15"/>
        <v>1124.6577992148045</v>
      </c>
      <c r="P19" s="38" t="str">
        <f t="shared" ca="1" si="17"/>
        <v/>
      </c>
      <c r="Q19" s="46" t="str">
        <f t="shared" si="7"/>
        <v/>
      </c>
      <c r="R19" s="46" t="str">
        <f t="shared" si="8"/>
        <v/>
      </c>
      <c r="S19" s="57">
        <f t="shared" ca="1" si="9"/>
        <v>1117.9544475284886</v>
      </c>
      <c r="T19" s="51">
        <f t="shared" ca="1" si="10"/>
        <v>1625889383606275</v>
      </c>
      <c r="U19" s="58">
        <f>IF(CouplingMode="AC",B19-(A$11-A$10)*SUM(B$9:B19)/0.21,B19)</f>
        <v>0.75804499999999997</v>
      </c>
      <c r="V19" s="58" t="e">
        <f ca="1">IF(G19&gt;Traps,CalcImpliedV(SampleDoping,T19),0.1)</f>
        <v>#NAME?</v>
      </c>
      <c r="W19" s="37">
        <f t="shared" ca="1" si="11"/>
        <v>0.40306986708344217</v>
      </c>
      <c r="X19" s="41" t="str">
        <f t="shared" si="12"/>
        <v/>
      </c>
    </row>
    <row r="20" spans="1:24" x14ac:dyDescent="0.2">
      <c r="A20" s="53">
        <v>1.14992E-3</v>
      </c>
      <c r="B20" s="53">
        <v>0.68601500000000004</v>
      </c>
      <c r="C20" s="54">
        <v>4.8441199999999996E-6</v>
      </c>
      <c r="D20" s="55">
        <f t="shared" si="0"/>
        <v>4.4629181706108082E-4</v>
      </c>
      <c r="E20" s="55">
        <f t="shared" si="1"/>
        <v>4.4629181706108082E-4</v>
      </c>
      <c r="F20" s="77">
        <f t="shared" si="2"/>
        <v>2.0545969356716071E-2</v>
      </c>
      <c r="G20" s="56">
        <f t="shared" si="3"/>
        <v>1464336904173964.5</v>
      </c>
      <c r="H20" s="56" t="str">
        <f t="shared" ca="1" si="4"/>
        <v/>
      </c>
      <c r="I20" s="56">
        <f t="shared" si="5"/>
        <v>101754534289926.42</v>
      </c>
      <c r="J20" s="56">
        <f t="shared" si="6"/>
        <v>1464336904173964.5</v>
      </c>
      <c r="K20" s="51">
        <f t="shared" si="13"/>
        <v>-1.5099926701201528E+18</v>
      </c>
      <c r="L20" s="56">
        <f t="shared" si="14"/>
        <v>9.6976424664196848E-4</v>
      </c>
      <c r="M20" s="38" t="str">
        <f t="shared" ca="1" si="16"/>
        <v/>
      </c>
      <c r="N20" s="41" t="str">
        <f t="shared" ca="1" si="18"/>
        <v/>
      </c>
      <c r="O20" s="57">
        <f t="shared" si="15"/>
        <v>1027.6189484449519</v>
      </c>
      <c r="P20" s="38" t="str">
        <f t="shared" ca="1" si="17"/>
        <v/>
      </c>
      <c r="Q20" s="46" t="str">
        <f t="shared" si="7"/>
        <v/>
      </c>
      <c r="R20" s="46" t="str">
        <f t="shared" si="8"/>
        <v/>
      </c>
      <c r="S20" s="57">
        <f t="shared" ca="1" si="9"/>
        <v>1023.3258220340671</v>
      </c>
      <c r="T20" s="51">
        <f t="shared" ca="1" si="10"/>
        <v>1464336904173964.5</v>
      </c>
      <c r="U20" s="58">
        <f>IF(CouplingMode="AC",B20-(A$11-A$10)*SUM(B$9:B20)/0.21,B20)</f>
        <v>0.68601500000000004</v>
      </c>
      <c r="V20" s="58" t="e">
        <f ca="1">IF(G20&gt;Traps,CalcImpliedV(SampleDoping,T20),0.1)</f>
        <v>#NAME?</v>
      </c>
      <c r="W20" s="37">
        <f t="shared" ca="1" si="11"/>
        <v>0.33155266687671126</v>
      </c>
      <c r="X20" s="41" t="str">
        <f t="shared" si="12"/>
        <v/>
      </c>
    </row>
    <row r="21" spans="1:24" x14ac:dyDescent="0.2">
      <c r="A21" s="53">
        <v>1.2499200000000001E-3</v>
      </c>
      <c r="B21" s="53">
        <v>0.62546299999999999</v>
      </c>
      <c r="C21" s="54">
        <v>-5.8199500000000001E-6</v>
      </c>
      <c r="D21" s="55">
        <f t="shared" si="0"/>
        <v>1.0000000000000001E-5</v>
      </c>
      <c r="E21" s="55">
        <f t="shared" si="1"/>
        <v>1.0000000000000001E-5</v>
      </c>
      <c r="F21" s="77">
        <f t="shared" si="2"/>
        <v>1.8692638134298639E-2</v>
      </c>
      <c r="G21" s="56">
        <f t="shared" si="3"/>
        <v>1329667256177945</v>
      </c>
      <c r="H21" s="56" t="str">
        <f t="shared" ca="1" si="4"/>
        <v/>
      </c>
      <c r="I21" s="56">
        <f t="shared" si="5"/>
        <v>2280000000000</v>
      </c>
      <c r="J21" s="56">
        <f t="shared" si="6"/>
        <v>1329667256177945</v>
      </c>
      <c r="K21" s="51">
        <f t="shared" si="13"/>
        <v>-1.2636116436047014E+18</v>
      </c>
      <c r="L21" s="56">
        <f t="shared" si="14"/>
        <v>1.0522752484179449E-3</v>
      </c>
      <c r="M21" s="38" t="str">
        <f t="shared" ca="1" si="16"/>
        <v/>
      </c>
      <c r="N21" s="41" t="str">
        <f t="shared" ca="1" si="18"/>
        <v/>
      </c>
      <c r="O21" s="57">
        <f t="shared" si="15"/>
        <v>947.38679228164017</v>
      </c>
      <c r="P21" s="38" t="str">
        <f t="shared" ca="1" si="17"/>
        <v/>
      </c>
      <c r="Q21" s="46" t="str">
        <f t="shared" si="7"/>
        <v/>
      </c>
      <c r="R21" s="46" t="str">
        <f t="shared" si="8"/>
        <v/>
      </c>
      <c r="S21" s="57">
        <f t="shared" ca="1" si="9"/>
        <v>944.44369202614973</v>
      </c>
      <c r="T21" s="51">
        <f t="shared" ca="1" si="10"/>
        <v>1329667256177945</v>
      </c>
      <c r="U21" s="58">
        <f>IF(CouplingMode="AC",B21-(A$11-A$10)*SUM(B$9:B21)/0.21,B21)</f>
        <v>0.62546299999999999</v>
      </c>
      <c r="V21" s="58" t="e">
        <f ca="1">IF(G21&gt;Traps,CalcImpliedV(SampleDoping,T21),0.1)</f>
        <v>#NAME?</v>
      </c>
      <c r="W21" s="37">
        <f t="shared" ca="1" si="11"/>
        <v>0.27745420135070342</v>
      </c>
      <c r="X21" s="41" t="str">
        <f t="shared" si="12"/>
        <v/>
      </c>
    </row>
    <row r="22" spans="1:24" x14ac:dyDescent="0.2">
      <c r="A22" s="53">
        <v>1.3499199999999999E-3</v>
      </c>
      <c r="B22" s="53">
        <v>0.57395499999999999</v>
      </c>
      <c r="C22" s="54">
        <v>-1.5230700000000001E-6</v>
      </c>
      <c r="D22" s="55">
        <f t="shared" si="0"/>
        <v>1.0000000000000001E-5</v>
      </c>
      <c r="E22" s="55">
        <f t="shared" si="1"/>
        <v>1.0000000000000001E-5</v>
      </c>
      <c r="F22" s="77">
        <f t="shared" si="2"/>
        <v>1.7122186936535153E-2</v>
      </c>
      <c r="G22" s="56">
        <f t="shared" si="3"/>
        <v>1215930297417172</v>
      </c>
      <c r="H22" s="56">
        <f t="shared" ca="1" si="4"/>
        <v>1215930297417172</v>
      </c>
      <c r="I22" s="56">
        <f t="shared" si="5"/>
        <v>2280000000000</v>
      </c>
      <c r="J22" s="56">
        <f t="shared" si="6"/>
        <v>1215930297417172</v>
      </c>
      <c r="K22" s="51">
        <f t="shared" si="13"/>
        <v>-1.0714528723519825E+18</v>
      </c>
      <c r="L22" s="56">
        <f t="shared" si="14"/>
        <v>1.1348425383825257E-3</v>
      </c>
      <c r="M22" s="38">
        <f t="shared" ca="1" si="16"/>
        <v>1.1348425383825257E-3</v>
      </c>
      <c r="N22" s="41">
        <f t="shared" ca="1" si="18"/>
        <v>881.1795171383734</v>
      </c>
      <c r="O22" s="57">
        <f t="shared" si="15"/>
        <v>878.72522956799958</v>
      </c>
      <c r="P22" s="38">
        <f t="shared" ca="1" si="17"/>
        <v>878.72522956799958</v>
      </c>
      <c r="Q22" s="46" t="str">
        <f t="shared" si="7"/>
        <v/>
      </c>
      <c r="R22" s="46" t="str">
        <f t="shared" si="8"/>
        <v/>
      </c>
      <c r="S22" s="57">
        <f t="shared" ca="1" si="9"/>
        <v>877.82278894086357</v>
      </c>
      <c r="T22" s="51">
        <f t="shared" ca="1" si="10"/>
        <v>1215930297417172</v>
      </c>
      <c r="U22" s="58">
        <f>IF(CouplingMode="AC",B22-(A$11-A$10)*SUM(B$9:B22)/0.21,B22)</f>
        <v>0.57395499999999999</v>
      </c>
      <c r="V22" s="58" t="e">
        <f ca="1">IF(G22&gt;Traps,CalcImpliedV(SampleDoping,T22),0.1)</f>
        <v>#NAME?</v>
      </c>
      <c r="W22" s="37">
        <f t="shared" ca="1" si="11"/>
        <v>0.23526144483386457</v>
      </c>
      <c r="X22" s="41" t="str">
        <f t="shared" si="12"/>
        <v/>
      </c>
    </row>
    <row r="23" spans="1:24" x14ac:dyDescent="0.2">
      <c r="A23" s="53">
        <v>1.4499199999999999E-3</v>
      </c>
      <c r="B23" s="53">
        <v>0.52946099999999996</v>
      </c>
      <c r="C23" s="54">
        <v>-8.59338E-6</v>
      </c>
      <c r="D23" s="55">
        <f t="shared" si="0"/>
        <v>1.0000000000000001E-5</v>
      </c>
      <c r="E23" s="55">
        <f t="shared" si="1"/>
        <v>1.0000000000000001E-5</v>
      </c>
      <c r="F23" s="77">
        <f t="shared" si="2"/>
        <v>1.577007932760284E-2</v>
      </c>
      <c r="G23" s="56">
        <f t="shared" si="3"/>
        <v>1118286865182320.7</v>
      </c>
      <c r="H23" s="56">
        <f t="shared" ca="1" si="4"/>
        <v>1118286865182320.7</v>
      </c>
      <c r="I23" s="56">
        <f t="shared" si="5"/>
        <v>2280000000000</v>
      </c>
      <c r="J23" s="56">
        <f t="shared" si="6"/>
        <v>1118286865182320.7</v>
      </c>
      <c r="K23" s="51">
        <f t="shared" si="13"/>
        <v>-9.201694552860599E+17</v>
      </c>
      <c r="L23" s="56">
        <f t="shared" si="14"/>
        <v>1.2153053535499834E-3</v>
      </c>
      <c r="M23" s="38">
        <f t="shared" ca="1" si="16"/>
        <v>1.2153053535499834E-3</v>
      </c>
      <c r="N23" s="41">
        <f t="shared" ca="1" si="18"/>
        <v>822.83847189427502</v>
      </c>
      <c r="O23" s="57">
        <f t="shared" si="15"/>
        <v>820.76253314296173</v>
      </c>
      <c r="P23" s="38">
        <f t="shared" ca="1" si="17"/>
        <v>820.76253314296173</v>
      </c>
      <c r="Q23" s="46" t="str">
        <f t="shared" si="7"/>
        <v/>
      </c>
      <c r="R23" s="46" t="str">
        <f t="shared" si="8"/>
        <v/>
      </c>
      <c r="S23" s="57">
        <f t="shared" ca="1" si="9"/>
        <v>820.62859536729411</v>
      </c>
      <c r="T23" s="51">
        <f t="shared" ca="1" si="10"/>
        <v>1118286865182320.7</v>
      </c>
      <c r="U23" s="58">
        <f>IF(CouplingMode="AC",B23-(A$11-A$10)*SUM(B$9:B23)/0.21,B23)</f>
        <v>0.52946099999999996</v>
      </c>
      <c r="V23" s="58" t="e">
        <f ca="1">IF(G23&gt;Traps,CalcImpliedV(SampleDoping,T23),0.1)</f>
        <v>#NAME?</v>
      </c>
      <c r="W23" s="37">
        <f t="shared" ca="1" si="11"/>
        <v>0.20204378664587005</v>
      </c>
      <c r="X23" s="41" t="str">
        <f t="shared" si="12"/>
        <v/>
      </c>
    </row>
    <row r="24" spans="1:24" x14ac:dyDescent="0.2">
      <c r="A24" s="53">
        <v>1.54992E-3</v>
      </c>
      <c r="B24" s="53">
        <v>0.49098399999999998</v>
      </c>
      <c r="C24" s="54">
        <v>-2.1871300000000002E-6</v>
      </c>
      <c r="D24" s="55">
        <f t="shared" si="0"/>
        <v>1.0000000000000001E-5</v>
      </c>
      <c r="E24" s="55">
        <f t="shared" si="1"/>
        <v>1.0000000000000001E-5</v>
      </c>
      <c r="F24" s="77">
        <f t="shared" si="2"/>
        <v>1.4604175697891686E-2</v>
      </c>
      <c r="G24" s="56">
        <f t="shared" si="3"/>
        <v>1034300663495785.6</v>
      </c>
      <c r="H24" s="56">
        <f t="shared" ca="1" si="4"/>
        <v>1034300663495785.6</v>
      </c>
      <c r="I24" s="56">
        <f t="shared" si="5"/>
        <v>2280000000000</v>
      </c>
      <c r="J24" s="56">
        <f t="shared" si="6"/>
        <v>1034300663495785.6</v>
      </c>
      <c r="K24" s="51">
        <f t="shared" si="13"/>
        <v>-7.9862034460267699E+17</v>
      </c>
      <c r="L24" s="56">
        <f t="shared" si="14"/>
        <v>1.2951093351000998E-3</v>
      </c>
      <c r="M24" s="38">
        <f t="shared" ca="1" si="16"/>
        <v>1.2951093351000998E-3</v>
      </c>
      <c r="N24" s="41">
        <f t="shared" ca="1" si="18"/>
        <v>772.13558183696466</v>
      </c>
      <c r="O24" s="57">
        <f t="shared" si="15"/>
        <v>770.35975058520171</v>
      </c>
      <c r="P24" s="38">
        <f t="shared" ca="1" si="17"/>
        <v>770.35975058520171</v>
      </c>
      <c r="Q24" s="46" t="str">
        <f t="shared" si="7"/>
        <v/>
      </c>
      <c r="R24" s="46" t="str">
        <f t="shared" si="8"/>
        <v/>
      </c>
      <c r="S24" s="57">
        <f t="shared" ca="1" si="9"/>
        <v>771.43406208608837</v>
      </c>
      <c r="T24" s="51">
        <f t="shared" ca="1" si="10"/>
        <v>1034300663495785.6</v>
      </c>
      <c r="U24" s="58">
        <f>IF(CouplingMode="AC",B24-(A$11-A$10)*SUM(B$9:B24)/0.21,B24)</f>
        <v>0.49098399999999998</v>
      </c>
      <c r="V24" s="58" t="e">
        <f ca="1">IF(G24&gt;Traps,CalcImpliedV(SampleDoping,T24),0.1)</f>
        <v>#NAME?</v>
      </c>
      <c r="W24" s="37">
        <f t="shared" ca="1" si="11"/>
        <v>0.17535496053364699</v>
      </c>
      <c r="X24" s="41" t="str">
        <f t="shared" si="12"/>
        <v/>
      </c>
    </row>
    <row r="25" spans="1:24" x14ac:dyDescent="0.2">
      <c r="A25" s="53">
        <v>1.64992E-3</v>
      </c>
      <c r="B25" s="53">
        <v>0.45696599999999998</v>
      </c>
      <c r="C25" s="54">
        <v>-3.8277599999999998E-6</v>
      </c>
      <c r="D25" s="55">
        <f t="shared" si="0"/>
        <v>1.0000000000000001E-5</v>
      </c>
      <c r="E25" s="55">
        <f t="shared" si="1"/>
        <v>1.0000000000000001E-5</v>
      </c>
      <c r="F25" s="77">
        <f t="shared" si="2"/>
        <v>1.3575978192038332E-2</v>
      </c>
      <c r="G25" s="56">
        <f t="shared" si="3"/>
        <v>960397345495608.25</v>
      </c>
      <c r="H25" s="56">
        <f t="shared" ca="1" si="4"/>
        <v>960397345495608.25</v>
      </c>
      <c r="I25" s="56">
        <f t="shared" si="5"/>
        <v>2280000000000</v>
      </c>
      <c r="J25" s="56">
        <f t="shared" si="6"/>
        <v>960397345495608.25</v>
      </c>
      <c r="K25" s="51">
        <f t="shared" si="13"/>
        <v>-7.0006628396327859E+17</v>
      </c>
      <c r="L25" s="56">
        <f t="shared" si="14"/>
        <v>1.3718663039427065E-3</v>
      </c>
      <c r="M25" s="38">
        <f t="shared" ca="1" si="16"/>
        <v>1.3718663039427065E-3</v>
      </c>
      <c r="N25" s="41">
        <f t="shared" ca="1" si="18"/>
        <v>728.93400554123036</v>
      </c>
      <c r="O25" s="57">
        <f t="shared" si="15"/>
        <v>727.40288285958025</v>
      </c>
      <c r="P25" s="38">
        <f t="shared" ca="1" si="17"/>
        <v>727.40288285958025</v>
      </c>
      <c r="Q25" s="46" t="str">
        <f t="shared" si="7"/>
        <v/>
      </c>
      <c r="R25" s="46" t="str">
        <f t="shared" si="8"/>
        <v/>
      </c>
      <c r="S25" s="57">
        <f t="shared" ca="1" si="9"/>
        <v>728.14553178059032</v>
      </c>
      <c r="T25" s="51">
        <f t="shared" ca="1" si="10"/>
        <v>960397345495608.25</v>
      </c>
      <c r="U25" s="58">
        <f>IF(CouplingMode="AC",B25-(A$11-A$10)*SUM(B$9:B25)/0.21,B25)</f>
        <v>0.45696599999999998</v>
      </c>
      <c r="V25" s="58" t="e">
        <f ca="1">IF(G25&gt;Traps,CalcImpliedV(SampleDoping,T25),0.1)</f>
        <v>#NAME?</v>
      </c>
      <c r="W25" s="37">
        <f t="shared" ca="1" si="11"/>
        <v>0.15371521202154229</v>
      </c>
      <c r="X25" s="41" t="str">
        <f t="shared" si="12"/>
        <v/>
      </c>
    </row>
    <row r="26" spans="1:24" x14ac:dyDescent="0.2">
      <c r="A26" s="53">
        <v>1.7499200000000001E-3</v>
      </c>
      <c r="B26" s="53">
        <v>0.42699799999999999</v>
      </c>
      <c r="C26" s="54">
        <v>-1.24215E-5</v>
      </c>
      <c r="D26" s="55">
        <f t="shared" si="0"/>
        <v>1.0000000000000001E-5</v>
      </c>
      <c r="E26" s="55">
        <f t="shared" si="1"/>
        <v>1.0000000000000001E-5</v>
      </c>
      <c r="F26" s="77">
        <f t="shared" si="2"/>
        <v>1.2672208187644224E-2</v>
      </c>
      <c r="G26" s="56">
        <f t="shared" si="3"/>
        <v>895564884959189.62</v>
      </c>
      <c r="H26" s="56">
        <f t="shared" ca="1" si="4"/>
        <v>895564884959189.62</v>
      </c>
      <c r="I26" s="56">
        <f t="shared" si="5"/>
        <v>2280000000000</v>
      </c>
      <c r="J26" s="56">
        <f t="shared" si="6"/>
        <v>895564884959189.62</v>
      </c>
      <c r="K26" s="51">
        <f t="shared" si="13"/>
        <v>-6.1907361819546266E+17</v>
      </c>
      <c r="L26" s="56">
        <f t="shared" si="14"/>
        <v>1.4466209811519206E-3</v>
      </c>
      <c r="M26" s="38">
        <f t="shared" ca="1" si="16"/>
        <v>1.4466209811519206E-3</v>
      </c>
      <c r="N26" s="41">
        <f t="shared" ca="1" si="18"/>
        <v>691.2660697093695</v>
      </c>
      <c r="O26" s="57">
        <f t="shared" si="15"/>
        <v>689.93468918050405</v>
      </c>
      <c r="P26" s="38">
        <f t="shared" ca="1" si="17"/>
        <v>689.93468918050405</v>
      </c>
      <c r="Q26" s="46" t="str">
        <f t="shared" si="7"/>
        <v/>
      </c>
      <c r="R26" s="46" t="str">
        <f t="shared" si="8"/>
        <v/>
      </c>
      <c r="S26" s="57">
        <f t="shared" ca="1" si="9"/>
        <v>690.17021472237616</v>
      </c>
      <c r="T26" s="51">
        <f t="shared" ca="1" si="10"/>
        <v>895564884959189.62</v>
      </c>
      <c r="U26" s="58">
        <f>IF(CouplingMode="AC",B26-(A$11-A$10)*SUM(B$9:B26)/0.21,B26)</f>
        <v>0.42699799999999999</v>
      </c>
      <c r="V26" s="58" t="e">
        <f ca="1">IF(G26&gt;Traps,CalcImpliedV(SampleDoping,T26),0.1)</f>
        <v>#NAME?</v>
      </c>
      <c r="W26" s="37">
        <f t="shared" ca="1" si="11"/>
        <v>0.13593146057416822</v>
      </c>
      <c r="X26" s="41" t="str">
        <f t="shared" si="12"/>
        <v/>
      </c>
    </row>
    <row r="27" spans="1:24" x14ac:dyDescent="0.2">
      <c r="A27" s="53">
        <v>1.8499199999999999E-3</v>
      </c>
      <c r="B27" s="53">
        <v>0.40011400000000003</v>
      </c>
      <c r="C27" s="54">
        <v>1.17554E-7</v>
      </c>
      <c r="D27" s="55">
        <f t="shared" si="0"/>
        <v>1.0830323828228511E-5</v>
      </c>
      <c r="E27" s="55">
        <f t="shared" si="1"/>
        <v>1.0830323828228511E-5</v>
      </c>
      <c r="F27" s="77">
        <f t="shared" si="2"/>
        <v>1.1863051714184919E-2</v>
      </c>
      <c r="G27" s="56">
        <f t="shared" si="3"/>
        <v>837621612468979.5</v>
      </c>
      <c r="H27" s="56">
        <f t="shared" ca="1" si="4"/>
        <v>837621612468979.5</v>
      </c>
      <c r="I27" s="56">
        <f t="shared" si="5"/>
        <v>2469313832836.1006</v>
      </c>
      <c r="J27" s="56">
        <f t="shared" si="6"/>
        <v>837621612468979.5</v>
      </c>
      <c r="K27" s="51">
        <f t="shared" si="13"/>
        <v>-5.5078828102714099E+17</v>
      </c>
      <c r="L27" s="56">
        <f t="shared" si="14"/>
        <v>1.5207687623762357E-3</v>
      </c>
      <c r="M27" s="38">
        <f t="shared" ca="1" si="16"/>
        <v>1.5207687623762357E-3</v>
      </c>
      <c r="N27" s="41">
        <f t="shared" ca="1" si="18"/>
        <v>657.56216509699823</v>
      </c>
      <c r="O27" s="57">
        <f t="shared" si="15"/>
        <v>656.39749255397749</v>
      </c>
      <c r="P27" s="38">
        <f t="shared" ca="1" si="17"/>
        <v>656.39749255397749</v>
      </c>
      <c r="Q27" s="46" t="str">
        <f t="shared" si="7"/>
        <v/>
      </c>
      <c r="R27" s="46" t="str">
        <f t="shared" si="8"/>
        <v/>
      </c>
      <c r="S27" s="57">
        <f t="shared" ca="1" si="9"/>
        <v>656.23020803436555</v>
      </c>
      <c r="T27" s="51">
        <f t="shared" ca="1" si="10"/>
        <v>837621612468979.5</v>
      </c>
      <c r="U27" s="58">
        <f>IF(CouplingMode="AC",B27-(A$11-A$10)*SUM(B$9:B27)/0.21,B27)</f>
        <v>0.40011400000000003</v>
      </c>
      <c r="V27" s="58" t="e">
        <f ca="1">IF(G27&gt;Traps,CalcImpliedV(SampleDoping,T27),0.1)</f>
        <v>#NAME?</v>
      </c>
      <c r="W27" s="37">
        <f t="shared" ca="1" si="11"/>
        <v>0.12093788736368967</v>
      </c>
      <c r="X27" s="41" t="str">
        <f t="shared" si="12"/>
        <v/>
      </c>
    </row>
    <row r="28" spans="1:24" x14ac:dyDescent="0.2">
      <c r="A28" s="53">
        <v>1.94992E-3</v>
      </c>
      <c r="B28" s="53">
        <v>0.37615300000000002</v>
      </c>
      <c r="C28" s="54">
        <v>-1.5273100000000001E-5</v>
      </c>
      <c r="D28" s="55">
        <f t="shared" si="0"/>
        <v>1.0000000000000001E-5</v>
      </c>
      <c r="E28" s="55">
        <f t="shared" si="1"/>
        <v>1.0000000000000001E-5</v>
      </c>
      <c r="F28" s="77">
        <f t="shared" si="2"/>
        <v>1.1143152651335281E-2</v>
      </c>
      <c r="G28" s="56">
        <f t="shared" si="3"/>
        <v>786151720911368.75</v>
      </c>
      <c r="H28" s="56">
        <f t="shared" ca="1" si="4"/>
        <v>786151720911368.75</v>
      </c>
      <c r="I28" s="56">
        <f t="shared" si="5"/>
        <v>2280000000000</v>
      </c>
      <c r="J28" s="56">
        <f t="shared" si="6"/>
        <v>786151720911368.75</v>
      </c>
      <c r="K28" s="51">
        <f t="shared" si="13"/>
        <v>-4.9334452905750176E+17</v>
      </c>
      <c r="L28" s="56">
        <f t="shared" si="14"/>
        <v>1.5935146223537808E-3</v>
      </c>
      <c r="M28" s="38">
        <f t="shared" ca="1" si="16"/>
        <v>1.5935146223537808E-3</v>
      </c>
      <c r="N28" s="41">
        <f t="shared" ca="1" si="18"/>
        <v>627.54366101950154</v>
      </c>
      <c r="O28" s="57">
        <f t="shared" si="15"/>
        <v>626.51772370253695</v>
      </c>
      <c r="P28" s="38">
        <f t="shared" ca="1" si="17"/>
        <v>626.51772370253695</v>
      </c>
      <c r="Q28" s="46" t="str">
        <f t="shared" si="7"/>
        <v/>
      </c>
      <c r="R28" s="46" t="str">
        <f t="shared" si="8"/>
        <v/>
      </c>
      <c r="S28" s="57">
        <f t="shared" ca="1" si="9"/>
        <v>626.08195460267279</v>
      </c>
      <c r="T28" s="51">
        <f t="shared" ca="1" si="10"/>
        <v>786151720911368.75</v>
      </c>
      <c r="U28" s="58">
        <f>IF(CouplingMode="AC",B28-(A$11-A$10)*SUM(B$9:B28)/0.21,B28)</f>
        <v>0.37615300000000002</v>
      </c>
      <c r="V28" s="58" t="e">
        <f ca="1">IF(G28&gt;Traps,CalcImpliedV(SampleDoping,T28),0.1)</f>
        <v>#NAME?</v>
      </c>
      <c r="W28" s="37">
        <f t="shared" ca="1" si="11"/>
        <v>0.10832482669272449</v>
      </c>
      <c r="X28" s="41" t="str">
        <f t="shared" si="12"/>
        <v/>
      </c>
    </row>
    <row r="29" spans="1:24" x14ac:dyDescent="0.2">
      <c r="A29" s="53">
        <v>2.0499200000000002E-3</v>
      </c>
      <c r="B29" s="53">
        <v>0.35446699999999998</v>
      </c>
      <c r="C29" s="54">
        <v>-2.0429300000000001E-5</v>
      </c>
      <c r="D29" s="55">
        <f t="shared" si="0"/>
        <v>1.0000000000000001E-5</v>
      </c>
      <c r="E29" s="55">
        <f t="shared" si="1"/>
        <v>1.0000000000000001E-5</v>
      </c>
      <c r="F29" s="77">
        <f t="shared" si="2"/>
        <v>1.0492645742509382E-2</v>
      </c>
      <c r="G29" s="56">
        <f t="shared" si="3"/>
        <v>739709787005948.12</v>
      </c>
      <c r="H29" s="56">
        <f t="shared" ca="1" si="4"/>
        <v>739709787005948.12</v>
      </c>
      <c r="I29" s="56">
        <f t="shared" si="5"/>
        <v>2280000000000</v>
      </c>
      <c r="J29" s="56">
        <f t="shared" si="6"/>
        <v>739709787005948.12</v>
      </c>
      <c r="K29" s="51">
        <f t="shared" si="13"/>
        <v>-4.4397393358096691E+17</v>
      </c>
      <c r="L29" s="56">
        <f t="shared" si="14"/>
        <v>1.6661108480843915E-3</v>
      </c>
      <c r="M29" s="38">
        <f t="shared" ca="1" si="16"/>
        <v>1.6661108480843915E-3</v>
      </c>
      <c r="N29" s="41">
        <f t="shared" ca="1" si="18"/>
        <v>600.20016144168835</v>
      </c>
      <c r="O29" s="57">
        <f t="shared" si="15"/>
        <v>599.29185829716096</v>
      </c>
      <c r="P29" s="38">
        <f t="shared" ca="1" si="17"/>
        <v>599.29185829716096</v>
      </c>
      <c r="Q29" s="46" t="str">
        <f t="shared" si="7"/>
        <v/>
      </c>
      <c r="R29" s="46" t="str">
        <f t="shared" si="8"/>
        <v/>
      </c>
      <c r="S29" s="57">
        <f t="shared" ca="1" si="9"/>
        <v>598.87880435567149</v>
      </c>
      <c r="T29" s="51">
        <f t="shared" ca="1" si="10"/>
        <v>739709787005948.12</v>
      </c>
      <c r="U29" s="58">
        <f>IF(CouplingMode="AC",B29-(A$11-A$10)*SUM(B$9:B29)/0.21,B29)</f>
        <v>0.35446699999999998</v>
      </c>
      <c r="V29" s="58" t="e">
        <f ca="1">IF(G29&gt;Traps,CalcImpliedV(SampleDoping,T29),0.1)</f>
        <v>#NAME?</v>
      </c>
      <c r="W29" s="37">
        <f t="shared" ca="1" si="11"/>
        <v>9.7484408113584026E-2</v>
      </c>
      <c r="X29" s="41" t="str">
        <f t="shared" si="12"/>
        <v/>
      </c>
    </row>
    <row r="30" spans="1:24" x14ac:dyDescent="0.2">
      <c r="A30" s="53">
        <v>2.14992E-3</v>
      </c>
      <c r="B30" s="53">
        <v>0.334866</v>
      </c>
      <c r="C30" s="54">
        <v>-2.05074E-5</v>
      </c>
      <c r="D30" s="55">
        <f t="shared" si="0"/>
        <v>1.0000000000000001E-5</v>
      </c>
      <c r="E30" s="55">
        <f t="shared" si="1"/>
        <v>1.0000000000000001E-5</v>
      </c>
      <c r="F30" s="77">
        <f t="shared" si="2"/>
        <v>9.9055325620938522E-3</v>
      </c>
      <c r="G30" s="56">
        <f t="shared" si="3"/>
        <v>697848533161954.37</v>
      </c>
      <c r="H30" s="56" t="str">
        <f t="shared" ca="1" si="4"/>
        <v/>
      </c>
      <c r="I30" s="56">
        <f t="shared" si="5"/>
        <v>2280000000000</v>
      </c>
      <c r="J30" s="56">
        <f t="shared" si="6"/>
        <v>697848533161954.37</v>
      </c>
      <c r="K30" s="51">
        <f t="shared" si="13"/>
        <v>-4.0130201716828915E+17</v>
      </c>
      <c r="L30" s="56">
        <f t="shared" si="14"/>
        <v>1.7389609404064024E-3</v>
      </c>
      <c r="M30" s="38" t="str">
        <f t="shared" ca="1" si="16"/>
        <v/>
      </c>
      <c r="N30" s="41" t="str">
        <f t="shared" ca="1" si="18"/>
        <v/>
      </c>
      <c r="O30" s="57">
        <f t="shared" si="15"/>
        <v>574.24763686530071</v>
      </c>
      <c r="P30" s="38" t="str">
        <f t="shared" ca="1" si="17"/>
        <v/>
      </c>
      <c r="Q30" s="46" t="str">
        <f t="shared" si="7"/>
        <v/>
      </c>
      <c r="R30" s="46" t="str">
        <f t="shared" si="8"/>
        <v/>
      </c>
      <c r="S30" s="57">
        <f t="shared" ca="1" si="9"/>
        <v>574.35876649150509</v>
      </c>
      <c r="T30" s="51">
        <f t="shared" ca="1" si="10"/>
        <v>697848533161954.37</v>
      </c>
      <c r="U30" s="58">
        <f>IF(CouplingMode="AC",B30-(A$11-A$10)*SUM(B$9:B30)/0.21,B30)</f>
        <v>0.334866</v>
      </c>
      <c r="V30" s="58" t="e">
        <f ca="1">IF(G30&gt;Traps,CalcImpliedV(SampleDoping,T30),0.1)</f>
        <v>#NAME?</v>
      </c>
      <c r="W30" s="37">
        <f t="shared" ca="1" si="11"/>
        <v>8.8114834361787173E-2</v>
      </c>
      <c r="X30" s="41" t="str">
        <f t="shared" si="12"/>
        <v/>
      </c>
    </row>
    <row r="31" spans="1:24" x14ac:dyDescent="0.2">
      <c r="A31" s="53">
        <v>2.2499199999999999E-3</v>
      </c>
      <c r="B31" s="53">
        <v>0.31699899999999998</v>
      </c>
      <c r="C31" s="54">
        <v>-2.0683199999999999E-5</v>
      </c>
      <c r="D31" s="55">
        <f t="shared" si="0"/>
        <v>1.0000000000000001E-5</v>
      </c>
      <c r="E31" s="55">
        <f t="shared" si="1"/>
        <v>1.0000000000000001E-5</v>
      </c>
      <c r="F31" s="77">
        <f t="shared" si="2"/>
        <v>9.3710620368270131E-3</v>
      </c>
      <c r="G31" s="56">
        <f t="shared" si="3"/>
        <v>659786239553203.25</v>
      </c>
      <c r="H31" s="56" t="str">
        <f t="shared" ca="1" si="4"/>
        <v/>
      </c>
      <c r="I31" s="56">
        <f t="shared" si="5"/>
        <v>2280000000000</v>
      </c>
      <c r="J31" s="56">
        <f t="shared" si="6"/>
        <v>659786239553203.25</v>
      </c>
      <c r="K31" s="51">
        <f t="shared" si="13"/>
        <v>-3.6465816985245363E+17</v>
      </c>
      <c r="L31" s="56">
        <f t="shared" si="14"/>
        <v>1.8093280066100344E-3</v>
      </c>
      <c r="M31" s="38" t="str">
        <f t="shared" ca="1" si="16"/>
        <v/>
      </c>
      <c r="N31" s="41" t="str">
        <f t="shared" ca="1" si="18"/>
        <v/>
      </c>
      <c r="O31" s="57">
        <f t="shared" si="15"/>
        <v>551.96875627002214</v>
      </c>
      <c r="P31" s="38" t="str">
        <f t="shared" ca="1" si="17"/>
        <v/>
      </c>
      <c r="Q31" s="46" t="str">
        <f t="shared" si="7"/>
        <v/>
      </c>
      <c r="R31" s="46" t="str">
        <f t="shared" si="8"/>
        <v/>
      </c>
      <c r="S31" s="57">
        <f t="shared" ca="1" si="9"/>
        <v>552.06395219946978</v>
      </c>
      <c r="T31" s="51">
        <f t="shared" ca="1" si="10"/>
        <v>659786239553203.25</v>
      </c>
      <c r="U31" s="58">
        <f>IF(CouplingMode="AC",B31-(A$11-A$10)*SUM(B$9:B31)/0.21,B31)</f>
        <v>0.31699899999999998</v>
      </c>
      <c r="V31" s="58" t="e">
        <f ca="1">IF(G31&gt;Traps,CalcImpliedV(SampleDoping,T31),0.1)</f>
        <v>#NAME?</v>
      </c>
      <c r="W31" s="37">
        <f t="shared" ca="1" si="11"/>
        <v>8.0068858018589747E-2</v>
      </c>
      <c r="X31" s="41" t="str">
        <f t="shared" si="12"/>
        <v/>
      </c>
    </row>
    <row r="32" spans="1:24" x14ac:dyDescent="0.2">
      <c r="A32" s="53">
        <v>2.3499200000000001E-3</v>
      </c>
      <c r="B32" s="53">
        <v>0.30085000000000001</v>
      </c>
      <c r="C32" s="54">
        <v>-1.5312099999999999E-5</v>
      </c>
      <c r="D32" s="55">
        <f t="shared" si="0"/>
        <v>1.0000000000000001E-5</v>
      </c>
      <c r="E32" s="55">
        <f t="shared" si="1"/>
        <v>1.0000000000000001E-5</v>
      </c>
      <c r="F32" s="77">
        <f t="shared" si="2"/>
        <v>8.8885609704962287E-3</v>
      </c>
      <c r="G32" s="56">
        <f t="shared" si="3"/>
        <v>625462486053596.62</v>
      </c>
      <c r="H32" s="56" t="str">
        <f t="shared" ca="1" si="4"/>
        <v/>
      </c>
      <c r="I32" s="56">
        <f t="shared" si="5"/>
        <v>2280000000000</v>
      </c>
      <c r="J32" s="56">
        <f t="shared" si="6"/>
        <v>625462486053596.62</v>
      </c>
      <c r="K32" s="51">
        <f t="shared" si="13"/>
        <v>-3.331653595162071E+17</v>
      </c>
      <c r="L32" s="56">
        <f t="shared" si="14"/>
        <v>1.8773334867761679E-3</v>
      </c>
      <c r="M32" s="38" t="str">
        <f t="shared" ca="1" si="16"/>
        <v/>
      </c>
      <c r="N32" s="41" t="str">
        <f t="shared" ca="1" si="18"/>
        <v/>
      </c>
      <c r="O32" s="57">
        <f t="shared" si="15"/>
        <v>532.02101349429961</v>
      </c>
      <c r="P32" s="38" t="str">
        <f t="shared" ca="1" si="17"/>
        <v/>
      </c>
      <c r="Q32" s="46" t="str">
        <f t="shared" si="7"/>
        <v/>
      </c>
      <c r="R32" s="46" t="str">
        <f t="shared" si="8"/>
        <v/>
      </c>
      <c r="S32" s="57">
        <f t="shared" ca="1" si="9"/>
        <v>531.95897066721159</v>
      </c>
      <c r="T32" s="51">
        <f t="shared" ca="1" si="10"/>
        <v>625462486053596.62</v>
      </c>
      <c r="U32" s="58">
        <f>IF(CouplingMode="AC",B32-(A$11-A$10)*SUM(B$9:B32)/0.21,B32)</f>
        <v>0.30085000000000001</v>
      </c>
      <c r="V32" s="58" t="e">
        <f ca="1">IF(G32&gt;Traps,CalcImpliedV(SampleDoping,T32),0.1)</f>
        <v>#NAME?</v>
      </c>
      <c r="W32" s="37">
        <f t="shared" ca="1" si="11"/>
        <v>7.3153907064825094E-2</v>
      </c>
      <c r="X32" s="41" t="str">
        <f t="shared" si="12"/>
        <v/>
      </c>
    </row>
    <row r="33" spans="1:24" x14ac:dyDescent="0.2">
      <c r="A33" s="53">
        <v>2.44992E-3</v>
      </c>
      <c r="B33" s="53">
        <v>0.28581499999999999</v>
      </c>
      <c r="C33" s="54">
        <v>-1.46481E-5</v>
      </c>
      <c r="D33" s="55">
        <f t="shared" si="0"/>
        <v>1.0000000000000001E-5</v>
      </c>
      <c r="E33" s="55">
        <f t="shared" si="1"/>
        <v>1.0000000000000001E-5</v>
      </c>
      <c r="F33" s="77">
        <f t="shared" si="2"/>
        <v>8.4398369704014459E-3</v>
      </c>
      <c r="G33" s="56">
        <f t="shared" si="3"/>
        <v>593573725633900.25</v>
      </c>
      <c r="H33" s="56" t="str">
        <f t="shared" ca="1" si="4"/>
        <v/>
      </c>
      <c r="I33" s="56">
        <f t="shared" si="5"/>
        <v>2280000000000</v>
      </c>
      <c r="J33" s="56">
        <f t="shared" si="6"/>
        <v>593573725633900.25</v>
      </c>
      <c r="K33" s="51">
        <f t="shared" si="13"/>
        <v>-3.0511624329178669E+17</v>
      </c>
      <c r="L33" s="56">
        <f t="shared" si="14"/>
        <v>1.9454019203633741E-3</v>
      </c>
      <c r="M33" s="38" t="str">
        <f t="shared" ca="1" si="16"/>
        <v/>
      </c>
      <c r="N33" s="41" t="str">
        <f t="shared" ca="1" si="18"/>
        <v/>
      </c>
      <c r="O33" s="57">
        <f t="shared" si="15"/>
        <v>513.44772890021954</v>
      </c>
      <c r="P33" s="38" t="str">
        <f t="shared" ca="1" si="17"/>
        <v/>
      </c>
      <c r="Q33" s="46" t="str">
        <f t="shared" si="7"/>
        <v/>
      </c>
      <c r="R33" s="46" t="str">
        <f t="shared" si="8"/>
        <v/>
      </c>
      <c r="S33" s="57">
        <f t="shared" ca="1" si="9"/>
        <v>513.28027518794397</v>
      </c>
      <c r="T33" s="51">
        <f t="shared" ca="1" si="10"/>
        <v>593573725633900.25</v>
      </c>
      <c r="U33" s="58">
        <f>IF(CouplingMode="AC",B33-(A$11-A$10)*SUM(B$9:B33)/0.21,B33)</f>
        <v>0.28581499999999999</v>
      </c>
      <c r="V33" s="58" t="e">
        <f ca="1">IF(G33&gt;Traps,CalcImpliedV(SampleDoping,T33),0.1)</f>
        <v>#NAME?</v>
      </c>
      <c r="W33" s="37">
        <f t="shared" ca="1" si="11"/>
        <v>6.6995096183311717E-2</v>
      </c>
      <c r="X33" s="41" t="str">
        <f t="shared" si="12"/>
        <v/>
      </c>
    </row>
    <row r="34" spans="1:24" x14ac:dyDescent="0.2">
      <c r="A34" s="53">
        <v>2.5499199999999998E-3</v>
      </c>
      <c r="B34" s="53">
        <v>0.27201999999999998</v>
      </c>
      <c r="C34" s="54">
        <v>-6.2105699999999999E-6</v>
      </c>
      <c r="D34" s="55">
        <f t="shared" si="0"/>
        <v>1.0000000000000001E-5</v>
      </c>
      <c r="E34" s="55">
        <f t="shared" si="1"/>
        <v>1.0000000000000001E-5</v>
      </c>
      <c r="F34" s="77">
        <f t="shared" si="2"/>
        <v>8.0285392348024842E-3</v>
      </c>
      <c r="G34" s="56">
        <f t="shared" si="3"/>
        <v>564372110363502.37</v>
      </c>
      <c r="H34" s="56" t="str">
        <f t="shared" ca="1" si="4"/>
        <v/>
      </c>
      <c r="I34" s="56">
        <f t="shared" si="5"/>
        <v>2280000000000</v>
      </c>
      <c r="J34" s="56">
        <f t="shared" si="6"/>
        <v>564372110363502.37</v>
      </c>
      <c r="K34" s="51">
        <f t="shared" si="13"/>
        <v>-2.8112767723119981E+17</v>
      </c>
      <c r="L34" s="56">
        <f t="shared" si="14"/>
        <v>2.0075295179825428E-3</v>
      </c>
      <c r="M34" s="38" t="str">
        <f t="shared" ca="1" si="16"/>
        <v/>
      </c>
      <c r="N34" s="41" t="str">
        <f t="shared" ca="1" si="18"/>
        <v/>
      </c>
      <c r="O34" s="57">
        <f t="shared" si="15"/>
        <v>497.59594427075746</v>
      </c>
      <c r="P34" s="38" t="str">
        <f t="shared" ca="1" si="17"/>
        <v/>
      </c>
      <c r="Q34" s="46" t="str">
        <f t="shared" si="7"/>
        <v/>
      </c>
      <c r="R34" s="46" t="str">
        <f t="shared" si="8"/>
        <v/>
      </c>
      <c r="S34" s="57">
        <f t="shared" ca="1" si="9"/>
        <v>496.17556268235558</v>
      </c>
      <c r="T34" s="51">
        <f t="shared" ca="1" si="10"/>
        <v>564372110363502.37</v>
      </c>
      <c r="U34" s="58">
        <f>IF(CouplingMode="AC",B34-(A$11-A$10)*SUM(B$9:B34)/0.21,B34)</f>
        <v>0.27201999999999998</v>
      </c>
      <c r="V34" s="58" t="e">
        <f ca="1">IF(G34&gt;Traps,CalcImpliedV(SampleDoping,T34),0.1)</f>
        <v>#NAME?</v>
      </c>
      <c r="W34" s="37">
        <f t="shared" ca="1" si="11"/>
        <v>6.1727869918363779E-2</v>
      </c>
      <c r="X34" s="41" t="str">
        <f t="shared" si="12"/>
        <v/>
      </c>
    </row>
    <row r="35" spans="1:24" x14ac:dyDescent="0.2">
      <c r="A35" s="53">
        <v>2.6499200000000001E-3</v>
      </c>
      <c r="B35" s="53">
        <v>0.259432</v>
      </c>
      <c r="C35" s="54">
        <v>-1.32776E-6</v>
      </c>
      <c r="D35" s="55">
        <f t="shared" si="0"/>
        <v>1.0000000000000001E-5</v>
      </c>
      <c r="E35" s="55">
        <f t="shared" si="1"/>
        <v>1.0000000000000001E-5</v>
      </c>
      <c r="F35" s="77">
        <f t="shared" si="2"/>
        <v>7.6535773233277343E-3</v>
      </c>
      <c r="G35" s="56">
        <f t="shared" si="3"/>
        <v>537773305752357.06</v>
      </c>
      <c r="H35" s="56" t="str">
        <f t="shared" ca="1" si="4"/>
        <v/>
      </c>
      <c r="I35" s="56">
        <f t="shared" si="5"/>
        <v>2280000000000</v>
      </c>
      <c r="J35" s="56">
        <f t="shared" si="6"/>
        <v>537773305752357.06</v>
      </c>
      <c r="K35" s="51">
        <f t="shared" si="13"/>
        <v>-2.5919437370185536E+17</v>
      </c>
      <c r="L35" s="56">
        <f t="shared" si="14"/>
        <v>2.0747877281122773E-3</v>
      </c>
      <c r="M35" s="38" t="str">
        <f t="shared" ca="1" si="16"/>
        <v/>
      </c>
      <c r="N35" s="41" t="str">
        <f t="shared" ca="1" si="18"/>
        <v/>
      </c>
      <c r="O35" s="57">
        <f t="shared" si="15"/>
        <v>481.49694473687839</v>
      </c>
      <c r="P35" s="38" t="str">
        <f t="shared" ca="1" si="17"/>
        <v/>
      </c>
      <c r="Q35" s="46" t="str">
        <f t="shared" si="7"/>
        <v/>
      </c>
      <c r="R35" s="46" t="str">
        <f t="shared" si="8"/>
        <v/>
      </c>
      <c r="S35" s="57">
        <f t="shared" ca="1" si="9"/>
        <v>480.59543460885254</v>
      </c>
      <c r="T35" s="51">
        <f t="shared" ca="1" si="10"/>
        <v>537773305752357.06</v>
      </c>
      <c r="U35" s="58">
        <f>IF(CouplingMode="AC",B35-(A$11-A$10)*SUM(B$9:B35)/0.21,B35)</f>
        <v>0.259432</v>
      </c>
      <c r="V35" s="58" t="e">
        <f ca="1">IF(G35&gt;Traps,CalcImpliedV(SampleDoping,T35),0.1)</f>
        <v>#NAME?</v>
      </c>
      <c r="W35" s="37">
        <f t="shared" ca="1" si="11"/>
        <v>5.6911922515127777E-2</v>
      </c>
      <c r="X35" s="41" t="str">
        <f t="shared" si="12"/>
        <v/>
      </c>
    </row>
    <row r="36" spans="1:24" x14ac:dyDescent="0.2">
      <c r="A36" s="53">
        <v>2.7499199999999999E-3</v>
      </c>
      <c r="B36" s="53">
        <v>0.24759300000000001</v>
      </c>
      <c r="C36" s="54">
        <v>-5.4650799999999999E-7</v>
      </c>
      <c r="D36" s="55">
        <f t="shared" si="0"/>
        <v>1.0000000000000001E-5</v>
      </c>
      <c r="E36" s="55">
        <f t="shared" si="1"/>
        <v>1.0000000000000001E-5</v>
      </c>
      <c r="F36" s="77">
        <f t="shared" si="2"/>
        <v>7.301230080045365E-3</v>
      </c>
      <c r="G36" s="56">
        <f t="shared" si="3"/>
        <v>512798857378768.37</v>
      </c>
      <c r="H36" s="56" t="str">
        <f t="shared" ca="1" si="4"/>
        <v/>
      </c>
      <c r="I36" s="56">
        <f t="shared" si="5"/>
        <v>2280000000000</v>
      </c>
      <c r="J36" s="56">
        <f t="shared" si="6"/>
        <v>512798857378768.37</v>
      </c>
      <c r="K36" s="51">
        <f t="shared" si="13"/>
        <v>-2.4017869210376192E+17</v>
      </c>
      <c r="L36" s="56">
        <f t="shared" si="14"/>
        <v>2.1350722367878879E-3</v>
      </c>
      <c r="M36" s="38" t="str">
        <f t="shared" ca="1" si="16"/>
        <v/>
      </c>
      <c r="N36" s="41" t="str">
        <f t="shared" ca="1" si="18"/>
        <v/>
      </c>
      <c r="O36" s="57">
        <f t="shared" si="15"/>
        <v>467.93170987894672</v>
      </c>
      <c r="P36" s="38" t="str">
        <f t="shared" ca="1" si="17"/>
        <v/>
      </c>
      <c r="Q36" s="46" t="str">
        <f t="shared" si="7"/>
        <v/>
      </c>
      <c r="R36" s="46" t="str">
        <f t="shared" si="8"/>
        <v/>
      </c>
      <c r="S36" s="57">
        <f t="shared" ca="1" si="9"/>
        <v>465.96676576775127</v>
      </c>
      <c r="T36" s="51">
        <f t="shared" ca="1" si="10"/>
        <v>512798857378768.37</v>
      </c>
      <c r="U36" s="58">
        <f>IF(CouplingMode="AC",B36-(A$11-A$10)*SUM(B$9:B36)/0.21,B36)</f>
        <v>0.24759300000000001</v>
      </c>
      <c r="V36" s="58" t="e">
        <f ca="1">IF(G36&gt;Traps,CalcImpliedV(SampleDoping,T36),0.1)</f>
        <v>#NAME?</v>
      </c>
      <c r="W36" s="37">
        <f t="shared" ca="1" si="11"/>
        <v>5.2736604269493781E-2</v>
      </c>
      <c r="X36" s="41" t="str">
        <f t="shared" si="12"/>
        <v/>
      </c>
    </row>
    <row r="37" spans="1:24" x14ac:dyDescent="0.2">
      <c r="A37" s="53">
        <v>2.8499200000000001E-3</v>
      </c>
      <c r="B37" s="53">
        <v>0.23665600000000001</v>
      </c>
      <c r="C37" s="54">
        <v>1.0664400000000001E-5</v>
      </c>
      <c r="D37" s="55">
        <f t="shared" si="0"/>
        <v>9.8251786782040714E-4</v>
      </c>
      <c r="E37" s="55">
        <f t="shared" si="1"/>
        <v>9.8251786782040714E-4</v>
      </c>
      <c r="F37" s="77">
        <f t="shared" si="2"/>
        <v>6.9759896460917653E-3</v>
      </c>
      <c r="G37" s="56">
        <f t="shared" si="3"/>
        <v>489763165275339.5</v>
      </c>
      <c r="H37" s="56" t="str">
        <f t="shared" ca="1" si="4"/>
        <v/>
      </c>
      <c r="I37" s="56">
        <f t="shared" si="5"/>
        <v>224014073863052.81</v>
      </c>
      <c r="J37" s="56">
        <f t="shared" si="6"/>
        <v>489763165275339.5</v>
      </c>
      <c r="K37" s="51">
        <f t="shared" si="13"/>
        <v>-2.2312737913615459E+17</v>
      </c>
      <c r="L37" s="56">
        <f t="shared" si="14"/>
        <v>2.1949935824616173E-3</v>
      </c>
      <c r="M37" s="38" t="str">
        <f t="shared" ca="1" si="16"/>
        <v/>
      </c>
      <c r="N37" s="41" t="str">
        <f t="shared" ca="1" si="18"/>
        <v/>
      </c>
      <c r="O37" s="57">
        <f t="shared" si="15"/>
        <v>455.18401678243941</v>
      </c>
      <c r="P37" s="38" t="str">
        <f t="shared" ca="1" si="17"/>
        <v/>
      </c>
      <c r="Q37" s="46" t="str">
        <f t="shared" si="7"/>
        <v/>
      </c>
      <c r="R37" s="46" t="str">
        <f t="shared" si="8"/>
        <v/>
      </c>
      <c r="S37" s="57">
        <f t="shared" ca="1" si="9"/>
        <v>452.4737145393205</v>
      </c>
      <c r="T37" s="51">
        <f t="shared" ca="1" si="10"/>
        <v>489763165275339.5</v>
      </c>
      <c r="U37" s="58">
        <f>IF(CouplingMode="AC",B37-(A$11-A$10)*SUM(B$9:B37)/0.21,B37)</f>
        <v>0.23665600000000001</v>
      </c>
      <c r="V37" s="58" t="e">
        <f ca="1">IF(G37&gt;Traps,CalcImpliedV(SampleDoping,T37),0.1)</f>
        <v>#NAME?</v>
      </c>
      <c r="W37" s="37">
        <f t="shared" ca="1" si="11"/>
        <v>4.8992607096507643E-2</v>
      </c>
      <c r="X37" s="41" t="str">
        <f t="shared" si="12"/>
        <v/>
      </c>
    </row>
    <row r="38" spans="1:24" x14ac:dyDescent="0.2">
      <c r="A38" s="53">
        <v>2.94992E-3</v>
      </c>
      <c r="B38" s="53">
        <v>0.22644500000000001</v>
      </c>
      <c r="C38" s="54">
        <v>9.0042700000000008E-6</v>
      </c>
      <c r="D38" s="55">
        <f t="shared" si="0"/>
        <v>8.295690485802538E-4</v>
      </c>
      <c r="E38" s="55">
        <f t="shared" si="1"/>
        <v>8.295690485802538E-4</v>
      </c>
      <c r="F38" s="77">
        <f t="shared" si="2"/>
        <v>6.6725657429353713E-3</v>
      </c>
      <c r="G38" s="56">
        <f t="shared" si="3"/>
        <v>468287834550130.12</v>
      </c>
      <c r="H38" s="56" t="str">
        <f t="shared" ca="1" si="4"/>
        <v/>
      </c>
      <c r="I38" s="56">
        <f t="shared" si="5"/>
        <v>189141743076297.87</v>
      </c>
      <c r="J38" s="56">
        <f t="shared" si="6"/>
        <v>468287834550130.12</v>
      </c>
      <c r="K38" s="51">
        <f t="shared" si="13"/>
        <v>-2.0642309387586534E+17</v>
      </c>
      <c r="L38" s="56">
        <f t="shared" si="14"/>
        <v>2.2685825784189624E-3</v>
      </c>
      <c r="M38" s="38" t="str">
        <f t="shared" ca="1" si="16"/>
        <v/>
      </c>
      <c r="N38" s="41" t="str">
        <f t="shared" ca="1" si="18"/>
        <v/>
      </c>
      <c r="O38" s="57">
        <f t="shared" si="15"/>
        <v>440.43985162082367</v>
      </c>
      <c r="P38" s="38" t="str">
        <f t="shared" ca="1" si="17"/>
        <v/>
      </c>
      <c r="Q38" s="46" t="str">
        <f t="shared" si="7"/>
        <v/>
      </c>
      <c r="R38" s="46" t="str">
        <f t="shared" si="8"/>
        <v/>
      </c>
      <c r="S38" s="57">
        <f t="shared" ca="1" si="9"/>
        <v>439.89463784730259</v>
      </c>
      <c r="T38" s="51">
        <f t="shared" ca="1" si="10"/>
        <v>468287834550130.12</v>
      </c>
      <c r="U38" s="58">
        <f>IF(CouplingMode="AC",B38-(A$11-A$10)*SUM(B$9:B38)/0.21,B38)</f>
        <v>0.22644500000000001</v>
      </c>
      <c r="V38" s="58" t="e">
        <f ca="1">IF(G38&gt;Traps,CalcImpliedV(SampleDoping,T38),0.1)</f>
        <v>#NAME?</v>
      </c>
      <c r="W38" s="37">
        <f t="shared" ca="1" si="11"/>
        <v>4.5324807619125045E-2</v>
      </c>
      <c r="X38" s="41" t="str">
        <f t="shared" si="12"/>
        <v/>
      </c>
    </row>
    <row r="39" spans="1:24" x14ac:dyDescent="0.2">
      <c r="A39" s="53">
        <v>3.0499199999999998E-3</v>
      </c>
      <c r="B39" s="53">
        <v>0.21700700000000001</v>
      </c>
      <c r="C39" s="54">
        <v>9.1409900000000004E-6</v>
      </c>
      <c r="D39" s="55">
        <f t="shared" si="0"/>
        <v>8.4216514802217316E-4</v>
      </c>
      <c r="E39" s="55">
        <f t="shared" si="1"/>
        <v>8.4216514802217316E-4</v>
      </c>
      <c r="F39" s="77">
        <f t="shared" si="2"/>
        <v>6.3923067952042362E-3</v>
      </c>
      <c r="G39" s="56">
        <f t="shared" si="3"/>
        <v>448465127598598.94</v>
      </c>
      <c r="H39" s="56" t="str">
        <f t="shared" ca="1" si="4"/>
        <v/>
      </c>
      <c r="I39" s="56">
        <f t="shared" si="5"/>
        <v>192013653749055.5</v>
      </c>
      <c r="J39" s="56">
        <f t="shared" si="6"/>
        <v>448465127598598.94</v>
      </c>
      <c r="K39" s="51">
        <f t="shared" si="13"/>
        <v>-1.9193580971340246E+17</v>
      </c>
      <c r="L39" s="56">
        <f t="shared" si="14"/>
        <v>2.3365370342733056E-3</v>
      </c>
      <c r="M39" s="38" t="str">
        <f t="shared" ca="1" si="16"/>
        <v/>
      </c>
      <c r="N39" s="41" t="str">
        <f t="shared" ca="1" si="18"/>
        <v/>
      </c>
      <c r="O39" s="57">
        <f t="shared" si="15"/>
        <v>427.64993971552411</v>
      </c>
      <c r="P39" s="38" t="str">
        <f t="shared" ca="1" si="17"/>
        <v/>
      </c>
      <c r="Q39" s="46" t="str">
        <f t="shared" si="7"/>
        <v/>
      </c>
      <c r="R39" s="46" t="str">
        <f t="shared" si="8"/>
        <v/>
      </c>
      <c r="S39" s="57">
        <f t="shared" ca="1" si="9"/>
        <v>428.28357796760537</v>
      </c>
      <c r="T39" s="51">
        <f t="shared" ca="1" si="10"/>
        <v>448465127598598.94</v>
      </c>
      <c r="U39" s="58">
        <f>IF(CouplingMode="AC",B39-(A$11-A$10)*SUM(B$9:B39)/0.21,B39)</f>
        <v>0.21700700000000001</v>
      </c>
      <c r="V39" s="58" t="e">
        <f ca="1">IF(G39&gt;Traps,CalcImpliedV(SampleDoping,T39),0.1)</f>
        <v>#NAME?</v>
      </c>
      <c r="W39" s="37">
        <f t="shared" ca="1" si="11"/>
        <v>4.2143800323584259E-2</v>
      </c>
      <c r="X39" s="41" t="str">
        <f t="shared" si="12"/>
        <v/>
      </c>
    </row>
    <row r="40" spans="1:24" x14ac:dyDescent="0.2">
      <c r="A40" s="53">
        <v>3.1499200000000001E-3</v>
      </c>
      <c r="B40" s="53">
        <v>0.208317</v>
      </c>
      <c r="C40" s="54">
        <v>1.1562900000000001E-5</v>
      </c>
      <c r="D40" s="55">
        <f t="shared" si="0"/>
        <v>1.0652972369585337E-3</v>
      </c>
      <c r="E40" s="55">
        <f t="shared" si="1"/>
        <v>1.0652972369585337E-3</v>
      </c>
      <c r="F40" s="77">
        <f t="shared" si="2"/>
        <v>6.1344251209760059E-3</v>
      </c>
      <c r="G40" s="56">
        <f t="shared" si="3"/>
        <v>430236329279206</v>
      </c>
      <c r="H40" s="56" t="str">
        <f t="shared" ca="1" si="4"/>
        <v/>
      </c>
      <c r="I40" s="56">
        <f t="shared" si="5"/>
        <v>242887770026545.66</v>
      </c>
      <c r="J40" s="56">
        <f t="shared" si="6"/>
        <v>430236329279206</v>
      </c>
      <c r="K40" s="51">
        <f t="shared" si="13"/>
        <v>-1.7913004974825862E+17</v>
      </c>
      <c r="L40" s="56">
        <f t="shared" si="14"/>
        <v>2.4018099134335133E-3</v>
      </c>
      <c r="M40" s="38" t="str">
        <f t="shared" ca="1" si="16"/>
        <v/>
      </c>
      <c r="N40" s="41" t="str">
        <f t="shared" ca="1" si="18"/>
        <v/>
      </c>
      <c r="O40" s="57">
        <f t="shared" si="15"/>
        <v>416.04541089323243</v>
      </c>
      <c r="P40" s="38" t="str">
        <f t="shared" ca="1" si="17"/>
        <v/>
      </c>
      <c r="Q40" s="46" t="str">
        <f t="shared" si="7"/>
        <v/>
      </c>
      <c r="R40" s="46" t="str">
        <f t="shared" si="8"/>
        <v/>
      </c>
      <c r="S40" s="57">
        <f t="shared" ca="1" si="9"/>
        <v>417.60614277477737</v>
      </c>
      <c r="T40" s="51">
        <f t="shared" ca="1" si="10"/>
        <v>430236329279206</v>
      </c>
      <c r="U40" s="58">
        <f>IF(CouplingMode="AC",B40-(A$11-A$10)*SUM(B$9:B40)/0.21,B40)</f>
        <v>0.208317</v>
      </c>
      <c r="V40" s="58" t="e">
        <f ca="1">IF(G40&gt;Traps,CalcImpliedV(SampleDoping,T40),0.1)</f>
        <v>#NAME?</v>
      </c>
      <c r="W40" s="37">
        <f t="shared" ca="1" si="11"/>
        <v>3.9332009278606139E-2</v>
      </c>
      <c r="X40" s="41" t="str">
        <f t="shared" si="12"/>
        <v/>
      </c>
    </row>
    <row r="41" spans="1:24" x14ac:dyDescent="0.2">
      <c r="A41" s="53">
        <v>3.2499199999999999E-3</v>
      </c>
      <c r="B41" s="53">
        <v>0.20000499999999999</v>
      </c>
      <c r="C41" s="54">
        <v>4.0042700000000004E-6</v>
      </c>
      <c r="D41" s="55">
        <f t="shared" ref="D41:D72" si="19">IF(C41&gt;0,C41/RefCellCal,0.00001)</f>
        <v>3.6891590924732965E-4</v>
      </c>
      <c r="E41" s="55">
        <f t="shared" ref="E41:E72" si="20">D41-BiasLight</f>
        <v>3.6891590924732965E-4</v>
      </c>
      <c r="F41" s="77">
        <f t="shared" ref="F41:F72" si="21">CalcConductance(B41,Dark_Voltage,A_cal,B_cal,C_cal)</f>
        <v>5.8879094202560212E-3</v>
      </c>
      <c r="G41" s="56">
        <f t="shared" ref="G41:G72" si="22">CalcDeltaN(F41,SampleDoping,Thickness,AreaFrac)</f>
        <v>412821013054100.37</v>
      </c>
      <c r="H41" s="56" t="str">
        <f t="shared" ref="H41:H72" ca="1" si="23">IF(AND(AND(G41&gt;=FitRangeMin,G41&lt;=FitRangeMax),A41&gt;TimeofMaxCD),G41,"")</f>
        <v/>
      </c>
      <c r="I41" s="56">
        <f t="shared" ref="I41:I72" si="24">E41*0.038*OptConst/1.6E-19</f>
        <v>84112827308391.156</v>
      </c>
      <c r="J41" s="56">
        <f t="shared" ref="J41:J72" si="25">IF(G41-BiasPtCD=0,0.00001,G41-BiasPtCD)</f>
        <v>412821013054100.37</v>
      </c>
      <c r="K41" s="51">
        <f t="shared" si="13"/>
        <v>-1.6723641899142704E+17</v>
      </c>
      <c r="L41" s="56">
        <f t="shared" si="14"/>
        <v>2.468487519307996E-3</v>
      </c>
      <c r="M41" s="38" t="str">
        <f t="shared" ca="1" si="16"/>
        <v/>
      </c>
      <c r="N41" s="41" t="str">
        <f t="shared" ca="1" si="18"/>
        <v/>
      </c>
      <c r="O41" s="57">
        <f t="shared" si="15"/>
        <v>404.82346339805736</v>
      </c>
      <c r="P41" s="38" t="str">
        <f t="shared" ca="1" si="17"/>
        <v/>
      </c>
      <c r="Q41" s="46" t="str">
        <f t="shared" ref="Q41:Q72" si="26">IF(D41&gt;0.85*BiasLight,IF( D41&lt;1.15*BiasLight,D41,""),"")</f>
        <v/>
      </c>
      <c r="R41" s="46" t="str">
        <f t="shared" ref="R41:R72" si="27">IF(D41&gt;0.85*BiasLight,IF(D41&lt;1.15*BiasLight,G41,""),"")</f>
        <v/>
      </c>
      <c r="S41" s="57">
        <f t="shared" ref="S41:S72" ca="1" si="28">FitInterceptAuger+FitSlopeAuger*(G41+Traps)</f>
        <v>407.40520099583705</v>
      </c>
      <c r="T41" s="51">
        <f t="shared" ref="T41:T72" ca="1" si="29">G41-Traps</f>
        <v>412821013054100.37</v>
      </c>
      <c r="U41" s="58">
        <f>IF(CouplingMode="AC",B41-(A$11-A$10)*SUM(B$9:B41)/0.21,B41)</f>
        <v>0.20000499999999999</v>
      </c>
      <c r="V41" s="58" t="e">
        <f ca="1">IF(G41&gt;Traps,CalcImpliedV(SampleDoping,T41),0.1)</f>
        <v>#NAME?</v>
      </c>
      <c r="W41" s="37">
        <f t="shared" ref="W41:W72" ca="1" si="30">IF(OR(L41="",L41&lt;0),"",(T41*Thickness*1.602E-19/(0.038*OptConst*L41)))</f>
        <v>3.6720496604203144E-2</v>
      </c>
      <c r="X41" s="41" t="str">
        <f t="shared" ref="X41:X72" si="31">IF(C41&gt;0.6,T41,"")</f>
        <v/>
      </c>
    </row>
    <row r="42" spans="1:24" x14ac:dyDescent="0.2">
      <c r="A42" s="53">
        <v>3.3499200000000002E-3</v>
      </c>
      <c r="B42" s="53">
        <v>0.19222800000000001</v>
      </c>
      <c r="C42" s="54">
        <v>1.21488E-5</v>
      </c>
      <c r="D42" s="55">
        <f t="shared" si="19"/>
        <v>1.1192765718255656E-3</v>
      </c>
      <c r="E42" s="55">
        <f t="shared" si="20"/>
        <v>1.1192765718255656E-3</v>
      </c>
      <c r="F42" s="77">
        <f t="shared" si="21"/>
        <v>5.6573921858431159E-3</v>
      </c>
      <c r="G42" s="56">
        <f t="shared" si="22"/>
        <v>396544866948250.06</v>
      </c>
      <c r="H42" s="56" t="str">
        <f t="shared" ca="1" si="23"/>
        <v/>
      </c>
      <c r="I42" s="56">
        <f t="shared" si="24"/>
        <v>255195058376228.94</v>
      </c>
      <c r="J42" s="56">
        <f t="shared" si="25"/>
        <v>396544866948250.06</v>
      </c>
      <c r="K42" s="51">
        <f t="shared" si="13"/>
        <v>-1.5849601795500906E+17</v>
      </c>
      <c r="L42" s="56">
        <f t="shared" si="14"/>
        <v>2.5019232158931207E-3</v>
      </c>
      <c r="M42" s="38" t="str">
        <f t="shared" ca="1" si="16"/>
        <v/>
      </c>
      <c r="N42" s="41" t="str">
        <f t="shared" ca="1" si="18"/>
        <v/>
      </c>
      <c r="O42" s="57">
        <f t="shared" si="15"/>
        <v>399.43149059543953</v>
      </c>
      <c r="P42" s="38" t="str">
        <f t="shared" ca="1" si="17"/>
        <v/>
      </c>
      <c r="Q42" s="46" t="str">
        <f t="shared" si="26"/>
        <v/>
      </c>
      <c r="R42" s="46" t="str">
        <f t="shared" si="27"/>
        <v/>
      </c>
      <c r="S42" s="57">
        <f t="shared" ca="1" si="28"/>
        <v>397.87152290092229</v>
      </c>
      <c r="T42" s="51">
        <f t="shared" ca="1" si="29"/>
        <v>396544866948250.06</v>
      </c>
      <c r="U42" s="58">
        <f>IF(CouplingMode="AC",B42-(A$11-A$10)*SUM(B$9:B42)/0.21,B42)</f>
        <v>0.19222800000000001</v>
      </c>
      <c r="V42" s="58" t="e">
        <f ca="1">IF(G42&gt;Traps,CalcImpliedV(SampleDoping,T42),0.1)</f>
        <v>#NAME?</v>
      </c>
      <c r="W42" s="37">
        <f t="shared" ca="1" si="30"/>
        <v>3.4801346047687025E-2</v>
      </c>
      <c r="X42" s="41" t="str">
        <f t="shared" si="31"/>
        <v/>
      </c>
    </row>
    <row r="43" spans="1:24" x14ac:dyDescent="0.2">
      <c r="A43" s="53">
        <v>3.44992E-3</v>
      </c>
      <c r="B43" s="53">
        <v>0.18512400000000001</v>
      </c>
      <c r="C43" s="54">
        <v>1.43949E-5</v>
      </c>
      <c r="D43" s="55">
        <f t="shared" si="19"/>
        <v>1.3262111750767017E-3</v>
      </c>
      <c r="E43" s="55">
        <f t="shared" si="20"/>
        <v>1.3262111750767017E-3</v>
      </c>
      <c r="F43" s="77">
        <f t="shared" si="21"/>
        <v>5.4469344076208126E-3</v>
      </c>
      <c r="G43" s="56">
        <f t="shared" si="22"/>
        <v>381692649268363.37</v>
      </c>
      <c r="H43" s="56" t="str">
        <f t="shared" ca="1" si="23"/>
        <v/>
      </c>
      <c r="I43" s="56">
        <f t="shared" si="24"/>
        <v>302376147917488</v>
      </c>
      <c r="J43" s="56">
        <f t="shared" si="25"/>
        <v>381692649268363.37</v>
      </c>
      <c r="K43" s="51">
        <f t="shared" ref="K43:K74" si="32">IF(ABS(SLOPE(J41:J45,A41:A45))&lt;1000000000000,-1000000000000,(SLOPE(J41:J45,A41:A45)))</f>
        <v>-1.4957136341947843E+17</v>
      </c>
      <c r="L43" s="56">
        <f t="shared" ref="L43:L74" si="33">CalcLifetime(AnalysisMode,J43,Thickness,I43,K43)</f>
        <v>2.5519099414631407E-3</v>
      </c>
      <c r="M43" s="38" t="str">
        <f t="shared" ca="1" si="16"/>
        <v/>
      </c>
      <c r="N43" s="41" t="str">
        <f t="shared" ca="1" si="18"/>
        <v/>
      </c>
      <c r="O43" s="57">
        <f t="shared" ref="O43:O74" si="34">IF(AND(D43&gt;0.95*BiasLight,D43&lt;1.05*BiasLight),"",(1/L43)-(G43*G43)*Auger_Coefficient)</f>
        <v>391.62151419921156</v>
      </c>
      <c r="P43" s="38" t="str">
        <f t="shared" ca="1" si="17"/>
        <v/>
      </c>
      <c r="Q43" s="46" t="str">
        <f t="shared" si="26"/>
        <v/>
      </c>
      <c r="R43" s="46" t="str">
        <f t="shared" si="27"/>
        <v/>
      </c>
      <c r="S43" s="57">
        <f t="shared" ca="1" si="28"/>
        <v>389.17190436501176</v>
      </c>
      <c r="T43" s="51">
        <f t="shared" ca="1" si="29"/>
        <v>381692649268363.37</v>
      </c>
      <c r="U43" s="58">
        <f>IF(CouplingMode="AC",B43-(A$11-A$10)*SUM(B$9:B43)/0.21,B43)</f>
        <v>0.18512400000000001</v>
      </c>
      <c r="V43" s="58" t="e">
        <f ca="1">IF(G43&gt;Traps,CalcImpliedV(SampleDoping,T43),0.1)</f>
        <v>#NAME?</v>
      </c>
      <c r="W43" s="37">
        <f t="shared" ca="1" si="30"/>
        <v>3.2841738513980874E-2</v>
      </c>
      <c r="X43" s="41" t="str">
        <f t="shared" si="31"/>
        <v/>
      </c>
    </row>
    <row r="44" spans="1:24" x14ac:dyDescent="0.2">
      <c r="A44" s="53">
        <v>3.5499199999999998E-3</v>
      </c>
      <c r="B44" s="53">
        <v>0.17787500000000001</v>
      </c>
      <c r="C44" s="54">
        <v>5.3909899999999999E-6</v>
      </c>
      <c r="D44" s="55">
        <f t="shared" si="19"/>
        <v>4.9667529352248011E-4</v>
      </c>
      <c r="E44" s="55">
        <f t="shared" si="20"/>
        <v>4.9667529352248011E-4</v>
      </c>
      <c r="F44" s="77">
        <f t="shared" si="21"/>
        <v>5.2322903471480192E-3</v>
      </c>
      <c r="G44" s="56">
        <f t="shared" si="22"/>
        <v>366552502194570</v>
      </c>
      <c r="H44" s="56" t="str">
        <f t="shared" ca="1" si="23"/>
        <v/>
      </c>
      <c r="I44" s="56">
        <f t="shared" si="24"/>
        <v>113241966923125.47</v>
      </c>
      <c r="J44" s="56">
        <f t="shared" si="25"/>
        <v>366552502194570</v>
      </c>
      <c r="K44" s="51">
        <f t="shared" si="32"/>
        <v>-1.4152158399543664E+17</v>
      </c>
      <c r="L44" s="56">
        <f t="shared" si="33"/>
        <v>2.5900819637970523E-3</v>
      </c>
      <c r="M44" s="38" t="str">
        <f t="shared" ref="M44:M75" ca="1" si="35">IF($H44="","",L44)</f>
        <v/>
      </c>
      <c r="N44" s="41" t="str">
        <f t="shared" ca="1" si="18"/>
        <v/>
      </c>
      <c r="O44" s="57">
        <f t="shared" si="34"/>
        <v>385.86512903308403</v>
      </c>
      <c r="P44" s="38" t="str">
        <f t="shared" ref="P44:P75" ca="1" si="36">IF($H44="","",O44)</f>
        <v/>
      </c>
      <c r="Q44" s="46" t="str">
        <f t="shared" si="26"/>
        <v/>
      </c>
      <c r="R44" s="46" t="str">
        <f t="shared" si="27"/>
        <v/>
      </c>
      <c r="S44" s="57">
        <f t="shared" ca="1" si="28"/>
        <v>380.30363250430821</v>
      </c>
      <c r="T44" s="51">
        <f t="shared" ca="1" si="29"/>
        <v>366552502194570</v>
      </c>
      <c r="U44" s="58">
        <f>IF(CouplingMode="AC",B44-(A$11-A$10)*SUM(B$9:B44)/0.21,B44)</f>
        <v>0.17787500000000001</v>
      </c>
      <c r="V44" s="58" t="e">
        <f ca="1">IF(G44&gt;Traps,CalcImpliedV(SampleDoping,T44),0.1)</f>
        <v>#NAME?</v>
      </c>
      <c r="W44" s="37">
        <f t="shared" ca="1" si="30"/>
        <v>3.1074229380576957E-2</v>
      </c>
      <c r="X44" s="41" t="str">
        <f t="shared" si="31"/>
        <v/>
      </c>
    </row>
    <row r="45" spans="1:24" x14ac:dyDescent="0.2">
      <c r="A45" s="53">
        <v>3.6499200000000001E-3</v>
      </c>
      <c r="B45" s="53">
        <v>0.17139499999999999</v>
      </c>
      <c r="C45" s="54">
        <v>1.6934000000000001E-5</v>
      </c>
      <c r="D45" s="55">
        <f t="shared" si="19"/>
        <v>1.5601400522927474E-3</v>
      </c>
      <c r="E45" s="55">
        <f t="shared" si="20"/>
        <v>1.5601400522927474E-3</v>
      </c>
      <c r="F45" s="77">
        <f t="shared" si="21"/>
        <v>5.0405100257432667E-3</v>
      </c>
      <c r="G45" s="56">
        <f t="shared" si="22"/>
        <v>353031513721201.19</v>
      </c>
      <c r="H45" s="56" t="str">
        <f t="shared" ca="1" si="23"/>
        <v/>
      </c>
      <c r="I45" s="56">
        <f t="shared" si="24"/>
        <v>355711931922746.44</v>
      </c>
      <c r="J45" s="56">
        <f t="shared" si="25"/>
        <v>353031513721201.19</v>
      </c>
      <c r="K45" s="51">
        <f t="shared" si="32"/>
        <v>-1.3367693701863779E+17</v>
      </c>
      <c r="L45" s="56">
        <f t="shared" si="33"/>
        <v>2.6409306017535403E-3</v>
      </c>
      <c r="M45" s="38" t="str">
        <f t="shared" ca="1" si="35"/>
        <v/>
      </c>
      <c r="N45" s="41" t="str">
        <f t="shared" ca="1" si="18"/>
        <v/>
      </c>
      <c r="O45" s="57">
        <f t="shared" si="34"/>
        <v>378.44751498489182</v>
      </c>
      <c r="P45" s="38" t="str">
        <f t="shared" ca="1" si="36"/>
        <v/>
      </c>
      <c r="Q45" s="46" t="str">
        <f t="shared" si="26"/>
        <v/>
      </c>
      <c r="R45" s="46" t="str">
        <f t="shared" si="27"/>
        <v/>
      </c>
      <c r="S45" s="57">
        <f t="shared" ca="1" si="28"/>
        <v>372.38377538384293</v>
      </c>
      <c r="T45" s="51">
        <f t="shared" ca="1" si="29"/>
        <v>353031513721201.19</v>
      </c>
      <c r="U45" s="58">
        <f>IF(CouplingMode="AC",B45-(A$11-A$10)*SUM(B$9:B45)/0.21,B45)</f>
        <v>0.17139499999999999</v>
      </c>
      <c r="V45" s="58" t="e">
        <f ca="1">IF(G45&gt;Traps,CalcImpliedV(SampleDoping,T45),0.1)</f>
        <v>#NAME?</v>
      </c>
      <c r="W45" s="37">
        <f t="shared" ca="1" si="30"/>
        <v>2.9351761664454183E-2</v>
      </c>
      <c r="X45" s="41" t="str">
        <f t="shared" si="31"/>
        <v/>
      </c>
    </row>
    <row r="46" spans="1:24" x14ac:dyDescent="0.2">
      <c r="A46" s="53">
        <v>3.7499199999999999E-3</v>
      </c>
      <c r="B46" s="53">
        <v>0.16519900000000001</v>
      </c>
      <c r="C46" s="54">
        <v>1.16801E-5</v>
      </c>
      <c r="D46" s="55">
        <f t="shared" si="19"/>
        <v>1.0760949465444974E-3</v>
      </c>
      <c r="E46" s="55">
        <f t="shared" si="20"/>
        <v>1.0760949465444974E-3</v>
      </c>
      <c r="F46" s="77">
        <f t="shared" si="21"/>
        <v>4.8572174583548927E-3</v>
      </c>
      <c r="G46" s="56">
        <f t="shared" si="22"/>
        <v>340114642724112.87</v>
      </c>
      <c r="H46" s="56" t="str">
        <f t="shared" ca="1" si="23"/>
        <v/>
      </c>
      <c r="I46" s="56">
        <f t="shared" si="24"/>
        <v>245349647812145.41</v>
      </c>
      <c r="J46" s="56">
        <f t="shared" si="25"/>
        <v>340114642724112.87</v>
      </c>
      <c r="K46" s="51">
        <f t="shared" si="32"/>
        <v>-1.2500691366317963E+17</v>
      </c>
      <c r="L46" s="56">
        <f t="shared" si="33"/>
        <v>2.7207666580787884E-3</v>
      </c>
      <c r="M46" s="38" t="str">
        <f t="shared" ca="1" si="35"/>
        <v/>
      </c>
      <c r="N46" s="41" t="str">
        <f t="shared" ca="1" si="18"/>
        <v/>
      </c>
      <c r="O46" s="57">
        <f t="shared" si="34"/>
        <v>367.35143774397994</v>
      </c>
      <c r="P46" s="38" t="str">
        <f t="shared" ca="1" si="36"/>
        <v/>
      </c>
      <c r="Q46" s="46" t="str">
        <f t="shared" si="26"/>
        <v/>
      </c>
      <c r="R46" s="46" t="str">
        <f t="shared" si="27"/>
        <v/>
      </c>
      <c r="S46" s="57">
        <f t="shared" ca="1" si="28"/>
        <v>364.81777731040961</v>
      </c>
      <c r="T46" s="51">
        <f t="shared" ca="1" si="29"/>
        <v>340114642724112.87</v>
      </c>
      <c r="U46" s="58">
        <f>IF(CouplingMode="AC",B46-(A$11-A$10)*SUM(B$9:B46)/0.21,B46)</f>
        <v>0.16519900000000001</v>
      </c>
      <c r="V46" s="58" t="e">
        <f ca="1">IF(G46&gt;Traps,CalcImpliedV(SampleDoping,T46),0.1)</f>
        <v>#NAME?</v>
      </c>
      <c r="W46" s="37">
        <f t="shared" ca="1" si="30"/>
        <v>2.7448064102030396E-2</v>
      </c>
      <c r="X46" s="41" t="str">
        <f t="shared" si="31"/>
        <v/>
      </c>
    </row>
    <row r="47" spans="1:24" x14ac:dyDescent="0.2">
      <c r="A47" s="53">
        <v>3.8499200000000002E-3</v>
      </c>
      <c r="B47" s="53">
        <v>0.159418</v>
      </c>
      <c r="C47" s="54">
        <v>7.6761499999999993E-6</v>
      </c>
      <c r="D47" s="55">
        <f t="shared" si="19"/>
        <v>7.0720851909808501E-4</v>
      </c>
      <c r="E47" s="55">
        <f t="shared" si="20"/>
        <v>7.0720851909808501E-4</v>
      </c>
      <c r="F47" s="77">
        <f t="shared" si="21"/>
        <v>4.6862743768710524E-3</v>
      </c>
      <c r="G47" s="56">
        <f t="shared" si="22"/>
        <v>328073110494273</v>
      </c>
      <c r="H47" s="56" t="str">
        <f t="shared" ca="1" si="23"/>
        <v/>
      </c>
      <c r="I47" s="56">
        <f t="shared" si="24"/>
        <v>161243542354363.41</v>
      </c>
      <c r="J47" s="56">
        <f t="shared" si="25"/>
        <v>328073110494273</v>
      </c>
      <c r="K47" s="51">
        <f t="shared" si="32"/>
        <v>-1.1795564622668806E+17</v>
      </c>
      <c r="L47" s="56">
        <f t="shared" si="33"/>
        <v>2.7813260406693852E-3</v>
      </c>
      <c r="M47" s="38" t="str">
        <f t="shared" ca="1" si="35"/>
        <v/>
      </c>
      <c r="N47" s="41" t="str">
        <f t="shared" ca="1" si="18"/>
        <v/>
      </c>
      <c r="O47" s="57">
        <f t="shared" si="34"/>
        <v>359.36206272353979</v>
      </c>
      <c r="P47" s="38" t="str">
        <f t="shared" ca="1" si="36"/>
        <v/>
      </c>
      <c r="Q47" s="46" t="str">
        <f t="shared" si="26"/>
        <v/>
      </c>
      <c r="R47" s="46" t="str">
        <f t="shared" si="27"/>
        <v/>
      </c>
      <c r="S47" s="57">
        <f t="shared" ca="1" si="28"/>
        <v>357.76450491396861</v>
      </c>
      <c r="T47" s="51">
        <f t="shared" ca="1" si="29"/>
        <v>328073110494273</v>
      </c>
      <c r="U47" s="58">
        <f>IF(CouplingMode="AC",B47-(A$11-A$10)*SUM(B$9:B47)/0.21,B47)</f>
        <v>0.159418</v>
      </c>
      <c r="V47" s="58" t="e">
        <f ca="1">IF(G47&gt;Traps,CalcImpliedV(SampleDoping,T47),0.1)</f>
        <v>#NAME?</v>
      </c>
      <c r="W47" s="37">
        <f t="shared" ca="1" si="30"/>
        <v>2.5899800610629697E-2</v>
      </c>
      <c r="X47" s="41" t="str">
        <f t="shared" si="31"/>
        <v/>
      </c>
    </row>
    <row r="48" spans="1:24" x14ac:dyDescent="0.2">
      <c r="A48" s="53">
        <v>3.94992E-3</v>
      </c>
      <c r="B48" s="53">
        <v>0.15387100000000001</v>
      </c>
      <c r="C48" s="54">
        <v>1.0937900000000001E-5</v>
      </c>
      <c r="D48" s="55">
        <f t="shared" si="19"/>
        <v>1.0077155945419183E-3</v>
      </c>
      <c r="E48" s="55">
        <f t="shared" si="20"/>
        <v>1.0077155945419183E-3</v>
      </c>
      <c r="F48" s="77">
        <f t="shared" si="21"/>
        <v>4.5223166892246064E-3</v>
      </c>
      <c r="G48" s="56">
        <f t="shared" si="22"/>
        <v>316528246976444.25</v>
      </c>
      <c r="H48" s="56" t="str">
        <f t="shared" ca="1" si="23"/>
        <v/>
      </c>
      <c r="I48" s="56">
        <f t="shared" si="24"/>
        <v>229759155555557.37</v>
      </c>
      <c r="J48" s="56">
        <f t="shared" si="25"/>
        <v>316528246976444.25</v>
      </c>
      <c r="K48" s="51">
        <f t="shared" si="32"/>
        <v>-1.1187201808615162E+17</v>
      </c>
      <c r="L48" s="56">
        <f t="shared" si="33"/>
        <v>2.8293781804551764E-3</v>
      </c>
      <c r="M48" s="38" t="str">
        <f t="shared" ca="1" si="35"/>
        <v/>
      </c>
      <c r="N48" s="41" t="str">
        <f t="shared" ca="1" si="18"/>
        <v/>
      </c>
      <c r="O48" s="57">
        <f t="shared" si="34"/>
        <v>353.26823297246926</v>
      </c>
      <c r="P48" s="38" t="str">
        <f t="shared" ca="1" si="36"/>
        <v/>
      </c>
      <c r="Q48" s="46" t="str">
        <f t="shared" si="26"/>
        <v/>
      </c>
      <c r="R48" s="46" t="str">
        <f t="shared" si="27"/>
        <v/>
      </c>
      <c r="S48" s="57">
        <f t="shared" ca="1" si="28"/>
        <v>351.00215394262023</v>
      </c>
      <c r="T48" s="51">
        <f t="shared" ca="1" si="29"/>
        <v>316528246976444.25</v>
      </c>
      <c r="U48" s="58">
        <f>IF(CouplingMode="AC",B48-(A$11-A$10)*SUM(B$9:B48)/0.21,B48)</f>
        <v>0.15387100000000001</v>
      </c>
      <c r="V48" s="58" t="e">
        <f ca="1">IF(G48&gt;Traps,CalcImpliedV(SampleDoping,T48),0.1)</f>
        <v>#NAME?</v>
      </c>
      <c r="W48" s="37">
        <f t="shared" ca="1" si="30"/>
        <v>2.4564003971219144E-2</v>
      </c>
      <c r="X48" s="41" t="str">
        <f t="shared" si="31"/>
        <v/>
      </c>
    </row>
    <row r="49" spans="1:24" x14ac:dyDescent="0.2">
      <c r="A49" s="53">
        <v>4.0499200000000003E-3</v>
      </c>
      <c r="B49" s="53">
        <v>0.14873500000000001</v>
      </c>
      <c r="C49" s="54">
        <v>5.6644299999999999E-6</v>
      </c>
      <c r="D49" s="55">
        <f t="shared" si="19"/>
        <v>5.2186749240631903E-4</v>
      </c>
      <c r="E49" s="55">
        <f t="shared" si="20"/>
        <v>5.2186749240631903E-4</v>
      </c>
      <c r="F49" s="77">
        <f t="shared" si="21"/>
        <v>4.3705649805305807E-3</v>
      </c>
      <c r="G49" s="56">
        <f t="shared" si="22"/>
        <v>305846888481691.44</v>
      </c>
      <c r="H49" s="56" t="str">
        <f t="shared" ca="1" si="23"/>
        <v/>
      </c>
      <c r="I49" s="56">
        <f t="shared" si="24"/>
        <v>118985788268640.73</v>
      </c>
      <c r="J49" s="56">
        <f t="shared" si="25"/>
        <v>305846888481691.44</v>
      </c>
      <c r="K49" s="51">
        <f t="shared" si="32"/>
        <v>-1.0644934943804072E+17</v>
      </c>
      <c r="L49" s="56">
        <f t="shared" si="33"/>
        <v>2.8731682259806658E-3</v>
      </c>
      <c r="M49" s="38" t="str">
        <f t="shared" ca="1" si="35"/>
        <v/>
      </c>
      <c r="N49" s="41" t="str">
        <f t="shared" ca="1" si="18"/>
        <v/>
      </c>
      <c r="O49" s="57">
        <f t="shared" si="34"/>
        <v>347.89256148717436</v>
      </c>
      <c r="P49" s="38" t="str">
        <f t="shared" ca="1" si="36"/>
        <v/>
      </c>
      <c r="Q49" s="46" t="str">
        <f t="shared" si="26"/>
        <v/>
      </c>
      <c r="R49" s="46" t="str">
        <f t="shared" si="27"/>
        <v/>
      </c>
      <c r="S49" s="57">
        <f t="shared" ca="1" si="28"/>
        <v>344.74559708677123</v>
      </c>
      <c r="T49" s="51">
        <f t="shared" ca="1" si="29"/>
        <v>305846888481691.44</v>
      </c>
      <c r="U49" s="58">
        <f>IF(CouplingMode="AC",B49-(A$11-A$10)*SUM(B$9:B49)/0.21,B49)</f>
        <v>0.14873500000000001</v>
      </c>
      <c r="V49" s="58" t="e">
        <f ca="1">IF(G49&gt;Traps,CalcImpliedV(SampleDoping,T49),0.1)</f>
        <v>#NAME?</v>
      </c>
      <c r="W49" s="37">
        <f t="shared" ca="1" si="30"/>
        <v>2.3373335772990854E-2</v>
      </c>
      <c r="X49" s="41" t="str">
        <f t="shared" si="31"/>
        <v/>
      </c>
    </row>
    <row r="50" spans="1:24" x14ac:dyDescent="0.2">
      <c r="A50" s="53">
        <v>4.1499199999999997E-3</v>
      </c>
      <c r="B50" s="53">
        <v>0.14365600000000001</v>
      </c>
      <c r="C50" s="54">
        <v>3.69177E-6</v>
      </c>
      <c r="D50" s="55">
        <f t="shared" si="19"/>
        <v>3.4012508803902186E-4</v>
      </c>
      <c r="E50" s="55">
        <f t="shared" si="20"/>
        <v>3.4012508803902186E-4</v>
      </c>
      <c r="F50" s="77">
        <f t="shared" si="21"/>
        <v>4.2205519740126513E-3</v>
      </c>
      <c r="G50" s="56">
        <f t="shared" si="22"/>
        <v>295291744687327.87</v>
      </c>
      <c r="H50" s="56" t="str">
        <f t="shared" ca="1" si="23"/>
        <v/>
      </c>
      <c r="I50" s="56">
        <f t="shared" si="24"/>
        <v>77548520072896.984</v>
      </c>
      <c r="J50" s="56">
        <f t="shared" si="25"/>
        <v>295291744687327.87</v>
      </c>
      <c r="K50" s="51">
        <f t="shared" si="32"/>
        <v>-1.0137252713106962E+17</v>
      </c>
      <c r="L50" s="56">
        <f t="shared" si="33"/>
        <v>2.9129366017040335E-3</v>
      </c>
      <c r="M50" s="38" t="str">
        <f t="shared" ca="1" si="35"/>
        <v/>
      </c>
      <c r="N50" s="41" t="str">
        <f t="shared" ca="1" si="18"/>
        <v/>
      </c>
      <c r="O50" s="57">
        <f t="shared" si="34"/>
        <v>343.15142989572718</v>
      </c>
      <c r="P50" s="38" t="str">
        <f t="shared" ca="1" si="36"/>
        <v/>
      </c>
      <c r="Q50" s="46" t="str">
        <f t="shared" si="26"/>
        <v/>
      </c>
      <c r="R50" s="46" t="str">
        <f t="shared" si="27"/>
        <v/>
      </c>
      <c r="S50" s="57">
        <f t="shared" ca="1" si="28"/>
        <v>338.56296991406293</v>
      </c>
      <c r="T50" s="51">
        <f t="shared" ca="1" si="29"/>
        <v>295291744687327.87</v>
      </c>
      <c r="U50" s="58">
        <f>IF(CouplingMode="AC",B50-(A$11-A$10)*SUM(B$9:B50)/0.21,B50)</f>
        <v>0.14365600000000001</v>
      </c>
      <c r="V50" s="58" t="e">
        <f ca="1">IF(G50&gt;Traps,CalcImpliedV(SampleDoping,T50),0.1)</f>
        <v>#NAME?</v>
      </c>
      <c r="W50" s="37">
        <f t="shared" ca="1" si="30"/>
        <v>2.2258605874996371E-2</v>
      </c>
      <c r="X50" s="41" t="str">
        <f t="shared" si="31"/>
        <v/>
      </c>
    </row>
    <row r="51" spans="1:24" x14ac:dyDescent="0.2">
      <c r="A51" s="53">
        <v>4.2499199999999999E-3</v>
      </c>
      <c r="B51" s="53">
        <v>0.13892499999999999</v>
      </c>
      <c r="C51" s="54">
        <v>1.00785E-5</v>
      </c>
      <c r="D51" s="55">
        <f t="shared" si="19"/>
        <v>9.2853853295337514E-4</v>
      </c>
      <c r="E51" s="55">
        <f t="shared" si="20"/>
        <v>9.2853853295337514E-4</v>
      </c>
      <c r="F51" s="77">
        <f t="shared" si="21"/>
        <v>4.0808662628745579E-3</v>
      </c>
      <c r="G51" s="56">
        <f t="shared" si="22"/>
        <v>285466686919810.87</v>
      </c>
      <c r="H51" s="56" t="str">
        <f t="shared" ca="1" si="23"/>
        <v/>
      </c>
      <c r="I51" s="56">
        <f t="shared" si="24"/>
        <v>211706785513369.53</v>
      </c>
      <c r="J51" s="56">
        <f t="shared" si="25"/>
        <v>285466686919810.87</v>
      </c>
      <c r="K51" s="51">
        <f t="shared" si="32"/>
        <v>-9.6282374091310432E+16</v>
      </c>
      <c r="L51" s="56">
        <f t="shared" si="33"/>
        <v>2.9648904029836807E-3</v>
      </c>
      <c r="M51" s="38" t="str">
        <f t="shared" ca="1" si="35"/>
        <v/>
      </c>
      <c r="N51" s="41" t="str">
        <f t="shared" ca="1" si="18"/>
        <v/>
      </c>
      <c r="O51" s="57">
        <f t="shared" si="34"/>
        <v>337.14531981963222</v>
      </c>
      <c r="P51" s="38" t="str">
        <f t="shared" ca="1" si="36"/>
        <v/>
      </c>
      <c r="Q51" s="46" t="str">
        <f t="shared" si="26"/>
        <v/>
      </c>
      <c r="R51" s="46" t="str">
        <f t="shared" si="27"/>
        <v/>
      </c>
      <c r="S51" s="57">
        <f t="shared" ca="1" si="28"/>
        <v>332.80798729039498</v>
      </c>
      <c r="T51" s="51">
        <f t="shared" ca="1" si="29"/>
        <v>285466686919810.87</v>
      </c>
      <c r="U51" s="58">
        <f>IF(CouplingMode="AC",B51-(A$11-A$10)*SUM(B$9:B51)/0.21,B51)</f>
        <v>0.13892499999999999</v>
      </c>
      <c r="V51" s="58" t="e">
        <f ca="1">IF(G51&gt;Traps,CalcImpliedV(SampleDoping,T51),0.1)</f>
        <v>#NAME?</v>
      </c>
      <c r="W51" s="37">
        <f t="shared" ca="1" si="30"/>
        <v>2.114094891643083E-2</v>
      </c>
      <c r="X51" s="41" t="str">
        <f t="shared" si="31"/>
        <v/>
      </c>
    </row>
    <row r="52" spans="1:24" x14ac:dyDescent="0.2">
      <c r="A52" s="53">
        <v>4.3499200000000002E-3</v>
      </c>
      <c r="B52" s="53">
        <v>0.134379</v>
      </c>
      <c r="C52" s="54">
        <v>1.47269E-5</v>
      </c>
      <c r="D52" s="55">
        <f t="shared" si="19"/>
        <v>1.356798543528408E-3</v>
      </c>
      <c r="E52" s="55">
        <f t="shared" si="20"/>
        <v>1.356798543528408E-3</v>
      </c>
      <c r="F52" s="77">
        <f t="shared" si="21"/>
        <v>3.9466871269198539E-3</v>
      </c>
      <c r="G52" s="56">
        <f t="shared" si="22"/>
        <v>276032084191849.72</v>
      </c>
      <c r="H52" s="56" t="str">
        <f t="shared" ca="1" si="23"/>
        <v/>
      </c>
      <c r="I52" s="56">
        <f t="shared" si="24"/>
        <v>309350067924477.06</v>
      </c>
      <c r="J52" s="56">
        <f t="shared" si="25"/>
        <v>276032084191849.72</v>
      </c>
      <c r="K52" s="51">
        <f t="shared" si="32"/>
        <v>-9.1310171379700272E+16</v>
      </c>
      <c r="L52" s="56">
        <f t="shared" si="33"/>
        <v>3.0230157278317857E-3</v>
      </c>
      <c r="M52" s="38" t="str">
        <f t="shared" ca="1" si="35"/>
        <v/>
      </c>
      <c r="N52" s="41" t="str">
        <f t="shared" ca="1" si="18"/>
        <v/>
      </c>
      <c r="O52" s="57">
        <f t="shared" si="34"/>
        <v>330.66901870487089</v>
      </c>
      <c r="P52" s="38" t="str">
        <f t="shared" ca="1" si="36"/>
        <v/>
      </c>
      <c r="Q52" s="46" t="str">
        <f t="shared" si="26"/>
        <v/>
      </c>
      <c r="R52" s="46" t="str">
        <f t="shared" si="27"/>
        <v/>
      </c>
      <c r="S52" s="57">
        <f t="shared" ca="1" si="28"/>
        <v>327.2817119192581</v>
      </c>
      <c r="T52" s="51">
        <f t="shared" ca="1" si="29"/>
        <v>276032084191849.72</v>
      </c>
      <c r="U52" s="58">
        <f>IF(CouplingMode="AC",B52-(A$11-A$10)*SUM(B$9:B52)/0.21,B52)</f>
        <v>0.134379</v>
      </c>
      <c r="V52" s="58" t="e">
        <f ca="1">IF(G52&gt;Traps,CalcImpliedV(SampleDoping,T52),0.1)</f>
        <v>#NAME?</v>
      </c>
      <c r="W52" s="37">
        <f t="shared" ca="1" si="30"/>
        <v>2.0049190590773005E-2</v>
      </c>
      <c r="X52" s="41" t="str">
        <f t="shared" si="31"/>
        <v/>
      </c>
    </row>
    <row r="53" spans="1:24" x14ac:dyDescent="0.2">
      <c r="A53" s="53">
        <v>4.4499199999999996E-3</v>
      </c>
      <c r="B53" s="53">
        <v>0.130186</v>
      </c>
      <c r="C53" s="54">
        <v>1.0371500000000001E-5</v>
      </c>
      <c r="D53" s="55">
        <f t="shared" si="19"/>
        <v>9.5553280691828451E-4</v>
      </c>
      <c r="E53" s="55">
        <f t="shared" si="20"/>
        <v>9.5553280691828451E-4</v>
      </c>
      <c r="F53" s="77">
        <f t="shared" si="21"/>
        <v>3.8229656135832929E-3</v>
      </c>
      <c r="G53" s="56">
        <f t="shared" si="22"/>
        <v>267335531683775.34</v>
      </c>
      <c r="H53" s="56" t="str">
        <f t="shared" ca="1" si="23"/>
        <v/>
      </c>
      <c r="I53" s="56">
        <f t="shared" si="24"/>
        <v>217861479977368.87</v>
      </c>
      <c r="J53" s="56">
        <f t="shared" si="25"/>
        <v>267335531683775.34</v>
      </c>
      <c r="K53" s="51">
        <f t="shared" si="32"/>
        <v>-8.6806113975998736E+16</v>
      </c>
      <c r="L53" s="56">
        <f t="shared" si="33"/>
        <v>3.0796855133693886E-3</v>
      </c>
      <c r="M53" s="38" t="str">
        <f t="shared" ca="1" si="35"/>
        <v/>
      </c>
      <c r="N53" s="41" t="str">
        <f t="shared" ca="1" si="18"/>
        <v/>
      </c>
      <c r="O53" s="57">
        <f t="shared" si="34"/>
        <v>324.58984201960686</v>
      </c>
      <c r="P53" s="38" t="str">
        <f t="shared" ca="1" si="36"/>
        <v/>
      </c>
      <c r="Q53" s="46" t="str">
        <f t="shared" si="26"/>
        <v/>
      </c>
      <c r="R53" s="46" t="str">
        <f t="shared" si="27"/>
        <v/>
      </c>
      <c r="S53" s="57">
        <f t="shared" ca="1" si="28"/>
        <v>322.18774608678723</v>
      </c>
      <c r="T53" s="51">
        <f t="shared" ca="1" si="29"/>
        <v>267335531683775.34</v>
      </c>
      <c r="U53" s="58">
        <f>IF(CouplingMode="AC",B53-(A$11-A$10)*SUM(B$9:B53)/0.21,B53)</f>
        <v>0.130186</v>
      </c>
      <c r="V53" s="58" t="e">
        <f ca="1">IF(G53&gt;Traps,CalcImpliedV(SampleDoping,T53),0.1)</f>
        <v>#NAME?</v>
      </c>
      <c r="W53" s="37">
        <f t="shared" ca="1" si="30"/>
        <v>1.9060224039137881E-2</v>
      </c>
      <c r="X53" s="41" t="str">
        <f t="shared" si="31"/>
        <v/>
      </c>
    </row>
    <row r="54" spans="1:24" x14ac:dyDescent="0.2">
      <c r="A54" s="53">
        <v>4.5499199999999998E-3</v>
      </c>
      <c r="B54" s="53">
        <v>0.12602099999999999</v>
      </c>
      <c r="C54" s="54">
        <v>1.0664400000000001E-5</v>
      </c>
      <c r="D54" s="55">
        <f t="shared" si="19"/>
        <v>9.8251786782040714E-4</v>
      </c>
      <c r="E54" s="55">
        <f t="shared" si="20"/>
        <v>9.8251786782040714E-4</v>
      </c>
      <c r="F54" s="77">
        <f t="shared" si="21"/>
        <v>3.7001068830693346E-3</v>
      </c>
      <c r="G54" s="56">
        <f t="shared" si="22"/>
        <v>258702236615495.5</v>
      </c>
      <c r="H54" s="56" t="str">
        <f t="shared" ca="1" si="23"/>
        <v/>
      </c>
      <c r="I54" s="56">
        <f t="shared" si="24"/>
        <v>224014073863052.81</v>
      </c>
      <c r="J54" s="56">
        <f t="shared" si="25"/>
        <v>258702236615495.5</v>
      </c>
      <c r="K54" s="51">
        <f t="shared" si="32"/>
        <v>-8.2763406491622512E+16</v>
      </c>
      <c r="L54" s="56">
        <f t="shared" si="33"/>
        <v>3.1258045986988451E-3</v>
      </c>
      <c r="M54" s="38" t="str">
        <f t="shared" ca="1" si="35"/>
        <v/>
      </c>
      <c r="N54" s="41" t="str">
        <f t="shared" ca="1" si="18"/>
        <v/>
      </c>
      <c r="O54" s="57">
        <f t="shared" si="34"/>
        <v>319.80653173469352</v>
      </c>
      <c r="P54" s="38" t="str">
        <f t="shared" ca="1" si="36"/>
        <v/>
      </c>
      <c r="Q54" s="46" t="str">
        <f t="shared" si="26"/>
        <v/>
      </c>
      <c r="R54" s="46" t="str">
        <f t="shared" si="27"/>
        <v/>
      </c>
      <c r="S54" s="57">
        <f t="shared" ca="1" si="28"/>
        <v>317.13083301018298</v>
      </c>
      <c r="T54" s="51">
        <f t="shared" ca="1" si="29"/>
        <v>258702236615495.5</v>
      </c>
      <c r="U54" s="58">
        <f>IF(CouplingMode="AC",B54-(A$11-A$10)*SUM(B$9:B54)/0.21,B54)</f>
        <v>0.12602099999999999</v>
      </c>
      <c r="V54" s="58" t="e">
        <f ca="1">IF(G54&gt;Traps,CalcImpliedV(SampleDoping,T54),0.1)</f>
        <v>#NAME?</v>
      </c>
      <c r="W54" s="37">
        <f t="shared" ca="1" si="30"/>
        <v>1.8172557181959877E-2</v>
      </c>
      <c r="X54" s="41" t="str">
        <f t="shared" si="31"/>
        <v/>
      </c>
    </row>
    <row r="55" spans="1:24" x14ac:dyDescent="0.2">
      <c r="A55" s="53">
        <v>4.6499200000000001E-3</v>
      </c>
      <c r="B55" s="53">
        <v>0.122172</v>
      </c>
      <c r="C55" s="54">
        <v>7.6956800000000002E-6</v>
      </c>
      <c r="D55" s="55">
        <f t="shared" si="19"/>
        <v>7.0900783026031948E-4</v>
      </c>
      <c r="E55" s="55">
        <f t="shared" si="20"/>
        <v>7.0900783026031948E-4</v>
      </c>
      <c r="F55" s="77">
        <f t="shared" si="21"/>
        <v>3.5866019144966399E-3</v>
      </c>
      <c r="G55" s="56">
        <f t="shared" si="22"/>
        <v>250728553719988.62</v>
      </c>
      <c r="H55" s="56" t="str">
        <f t="shared" ca="1" si="23"/>
        <v/>
      </c>
      <c r="I55" s="56">
        <f t="shared" si="24"/>
        <v>161653785299352.84</v>
      </c>
      <c r="J55" s="56">
        <f t="shared" si="25"/>
        <v>250728553719988.62</v>
      </c>
      <c r="K55" s="51">
        <f t="shared" si="32"/>
        <v>-7.935749010117352E+16</v>
      </c>
      <c r="L55" s="56">
        <f t="shared" si="33"/>
        <v>3.1594819014605013E-3</v>
      </c>
      <c r="M55" s="38" t="str">
        <f t="shared" ca="1" si="35"/>
        <v/>
      </c>
      <c r="N55" s="41" t="str">
        <f t="shared" ca="1" si="18"/>
        <v/>
      </c>
      <c r="O55" s="57">
        <f t="shared" si="34"/>
        <v>316.40323369770056</v>
      </c>
      <c r="P55" s="38" t="str">
        <f t="shared" ca="1" si="36"/>
        <v/>
      </c>
      <c r="Q55" s="46" t="str">
        <f t="shared" si="26"/>
        <v/>
      </c>
      <c r="R55" s="46" t="str">
        <f t="shared" si="27"/>
        <v/>
      </c>
      <c r="S55" s="57">
        <f t="shared" ca="1" si="28"/>
        <v>312.46028474511382</v>
      </c>
      <c r="T55" s="51">
        <f t="shared" ca="1" si="29"/>
        <v>250728553719988.62</v>
      </c>
      <c r="U55" s="58">
        <f>IF(CouplingMode="AC",B55-(A$11-A$10)*SUM(B$9:B55)/0.21,B55)</f>
        <v>0.122172</v>
      </c>
      <c r="V55" s="58" t="e">
        <f ca="1">IF(G55&gt;Traps,CalcImpliedV(SampleDoping,T55),0.1)</f>
        <v>#NAME?</v>
      </c>
      <c r="W55" s="37">
        <f t="shared" ca="1" si="30"/>
        <v>1.7424712053464912E-2</v>
      </c>
      <c r="X55" s="41" t="str">
        <f t="shared" si="31"/>
        <v/>
      </c>
    </row>
    <row r="56" spans="1:24" x14ac:dyDescent="0.2">
      <c r="A56" s="53">
        <v>4.7499200000000004E-3</v>
      </c>
      <c r="B56" s="53">
        <v>0.11841699999999999</v>
      </c>
      <c r="C56" s="54">
        <v>5.0980199999999999E-6</v>
      </c>
      <c r="D56" s="55">
        <f t="shared" si="19"/>
        <v>4.6968378347640673E-4</v>
      </c>
      <c r="E56" s="55">
        <f t="shared" si="20"/>
        <v>4.6968378347640673E-4</v>
      </c>
      <c r="F56" s="77">
        <f t="shared" si="21"/>
        <v>3.4758989729374579E-3</v>
      </c>
      <c r="G56" s="56">
        <f t="shared" si="22"/>
        <v>242953869927931.78</v>
      </c>
      <c r="H56" s="56" t="str">
        <f t="shared" ca="1" si="23"/>
        <v/>
      </c>
      <c r="I56" s="56">
        <f t="shared" si="24"/>
        <v>107087902632620.73</v>
      </c>
      <c r="J56" s="56">
        <f t="shared" si="25"/>
        <v>242953869927931.78</v>
      </c>
      <c r="K56" s="51">
        <f t="shared" si="32"/>
        <v>-7.625826917117304E+16</v>
      </c>
      <c r="L56" s="56">
        <f t="shared" si="33"/>
        <v>3.1859347526310314E-3</v>
      </c>
      <c r="M56" s="38" t="str">
        <f t="shared" ca="1" si="35"/>
        <v/>
      </c>
      <c r="N56" s="41" t="str">
        <f t="shared" ca="1" si="18"/>
        <v/>
      </c>
      <c r="O56" s="57">
        <f t="shared" si="34"/>
        <v>313.78163916790527</v>
      </c>
      <c r="P56" s="38" t="str">
        <f t="shared" ca="1" si="36"/>
        <v/>
      </c>
      <c r="Q56" s="46" t="str">
        <f t="shared" si="26"/>
        <v/>
      </c>
      <c r="R56" s="46" t="str">
        <f t="shared" si="27"/>
        <v/>
      </c>
      <c r="S56" s="57">
        <f t="shared" ca="1" si="28"/>
        <v>307.90629929418577</v>
      </c>
      <c r="T56" s="51">
        <f t="shared" ca="1" si="29"/>
        <v>242953869927931.78</v>
      </c>
      <c r="U56" s="58">
        <f>IF(CouplingMode="AC",B56-(A$11-A$10)*SUM(B$9:B56)/0.21,B56)</f>
        <v>0.11841699999999999</v>
      </c>
      <c r="V56" s="58" t="e">
        <f ca="1">IF(G56&gt;Traps,CalcImpliedV(SampleDoping,T56),0.1)</f>
        <v>#NAME?</v>
      </c>
      <c r="W56" s="37">
        <f t="shared" ca="1" si="30"/>
        <v>1.6744208773604611E-2</v>
      </c>
      <c r="X56" s="41" t="str">
        <f t="shared" si="31"/>
        <v/>
      </c>
    </row>
    <row r="57" spans="1:24" x14ac:dyDescent="0.2">
      <c r="A57" s="53">
        <v>4.8499199999999998E-3</v>
      </c>
      <c r="B57" s="53">
        <v>0.11483</v>
      </c>
      <c r="C57" s="54">
        <v>4.0238000000000003E-6</v>
      </c>
      <c r="D57" s="55">
        <f t="shared" si="19"/>
        <v>3.70715220409564E-4</v>
      </c>
      <c r="E57" s="55">
        <f t="shared" si="20"/>
        <v>3.70715220409564E-4</v>
      </c>
      <c r="F57" s="77">
        <f t="shared" si="21"/>
        <v>3.3701766052384313E-3</v>
      </c>
      <c r="G57" s="56">
        <f t="shared" si="22"/>
        <v>235530969976970.41</v>
      </c>
      <c r="H57" s="56" t="str">
        <f t="shared" ca="1" si="23"/>
        <v/>
      </c>
      <c r="I57" s="56">
        <f t="shared" si="24"/>
        <v>84523070253380.594</v>
      </c>
      <c r="J57" s="56">
        <f t="shared" si="25"/>
        <v>235530969976970.41</v>
      </c>
      <c r="K57" s="51">
        <f t="shared" si="32"/>
        <v>-7.243570923635304E+16</v>
      </c>
      <c r="L57" s="56">
        <f t="shared" si="33"/>
        <v>3.2515864407214965E-3</v>
      </c>
      <c r="M57" s="38" t="str">
        <f t="shared" ca="1" si="35"/>
        <v/>
      </c>
      <c r="N57" s="41" t="str">
        <f t="shared" ca="1" si="18"/>
        <v/>
      </c>
      <c r="O57" s="57">
        <f t="shared" si="34"/>
        <v>307.4500971702991</v>
      </c>
      <c r="P57" s="38" t="str">
        <f t="shared" ca="1" si="36"/>
        <v/>
      </c>
      <c r="Q57" s="46" t="str">
        <f t="shared" si="26"/>
        <v/>
      </c>
      <c r="R57" s="46" t="str">
        <f t="shared" si="27"/>
        <v/>
      </c>
      <c r="S57" s="57">
        <f t="shared" ca="1" si="28"/>
        <v>303.55836961826651</v>
      </c>
      <c r="T57" s="51">
        <f t="shared" ca="1" si="29"/>
        <v>235530969976970.41</v>
      </c>
      <c r="U57" s="58">
        <f>IF(CouplingMode="AC",B57-(A$11-A$10)*SUM(B$9:B57)/0.21,B57)</f>
        <v>0.11483</v>
      </c>
      <c r="V57" s="58" t="e">
        <f ca="1">IF(G57&gt;Traps,CalcImpliedV(SampleDoping,T57),0.1)</f>
        <v>#NAME?</v>
      </c>
      <c r="W57" s="37">
        <f t="shared" ca="1" si="30"/>
        <v>1.5904880235284757E-2</v>
      </c>
      <c r="X57" s="41" t="str">
        <f t="shared" si="31"/>
        <v/>
      </c>
    </row>
    <row r="58" spans="1:24" x14ac:dyDescent="0.2">
      <c r="A58" s="53">
        <v>4.94992E-3</v>
      </c>
      <c r="B58" s="53">
        <v>0.111272</v>
      </c>
      <c r="C58" s="54">
        <v>8.7503699999999997E-6</v>
      </c>
      <c r="D58" s="55">
        <f t="shared" si="19"/>
        <v>8.0617708216492779E-4</v>
      </c>
      <c r="E58" s="55">
        <f t="shared" si="20"/>
        <v>8.0617708216492779E-4</v>
      </c>
      <c r="F58" s="77">
        <f t="shared" si="21"/>
        <v>3.2653357017373985E-3</v>
      </c>
      <c r="G58" s="56">
        <f t="shared" si="22"/>
        <v>228171893901418.09</v>
      </c>
      <c r="H58" s="56" t="str">
        <f t="shared" ca="1" si="23"/>
        <v/>
      </c>
      <c r="I58" s="56">
        <f t="shared" si="24"/>
        <v>183808374733603.53</v>
      </c>
      <c r="J58" s="56">
        <f t="shared" si="25"/>
        <v>228171893901418.09</v>
      </c>
      <c r="K58" s="51">
        <f t="shared" si="32"/>
        <v>-6.9648553835297704E+16</v>
      </c>
      <c r="L58" s="56">
        <f t="shared" si="33"/>
        <v>3.2760463977614014E-3</v>
      </c>
      <c r="M58" s="38" t="str">
        <f t="shared" ca="1" si="35"/>
        <v/>
      </c>
      <c r="N58" s="41" t="str">
        <f t="shared" ca="1" si="18"/>
        <v/>
      </c>
      <c r="O58" s="57">
        <f t="shared" si="34"/>
        <v>305.15955846671829</v>
      </c>
      <c r="P58" s="38" t="str">
        <f t="shared" ca="1" si="36"/>
        <v/>
      </c>
      <c r="Q58" s="46" t="str">
        <f t="shared" si="26"/>
        <v/>
      </c>
      <c r="R58" s="46" t="str">
        <f t="shared" si="27"/>
        <v/>
      </c>
      <c r="S58" s="57">
        <f t="shared" ca="1" si="28"/>
        <v>299.24782448528276</v>
      </c>
      <c r="T58" s="51">
        <f t="shared" ca="1" si="29"/>
        <v>228171893901418.09</v>
      </c>
      <c r="U58" s="58">
        <f>IF(CouplingMode="AC",B58-(A$11-A$10)*SUM(B$9:B58)/0.21,B58)</f>
        <v>0.111272</v>
      </c>
      <c r="V58" s="58" t="e">
        <f ca="1">IF(G58&gt;Traps,CalcImpliedV(SampleDoping,T58),0.1)</f>
        <v>#NAME?</v>
      </c>
      <c r="W58" s="37">
        <f t="shared" ca="1" si="30"/>
        <v>1.5292897922717508E-2</v>
      </c>
      <c r="X58" s="41" t="str">
        <f t="shared" si="31"/>
        <v/>
      </c>
    </row>
    <row r="59" spans="1:24" x14ac:dyDescent="0.2">
      <c r="A59" s="53">
        <v>5.0499200000000003E-3</v>
      </c>
      <c r="B59" s="53">
        <v>0.108239</v>
      </c>
      <c r="C59" s="54">
        <v>8.0277100000000001E-6</v>
      </c>
      <c r="D59" s="55">
        <f t="shared" si="19"/>
        <v>7.3959796263086167E-4</v>
      </c>
      <c r="E59" s="55">
        <f t="shared" si="20"/>
        <v>7.3959796263086167E-4</v>
      </c>
      <c r="F59" s="77">
        <f t="shared" si="21"/>
        <v>3.1759855927918773E-3</v>
      </c>
      <c r="G59" s="56">
        <f t="shared" si="22"/>
        <v>221901687115068.94</v>
      </c>
      <c r="H59" s="56" t="str">
        <f t="shared" ca="1" si="23"/>
        <v/>
      </c>
      <c r="I59" s="56">
        <f t="shared" si="24"/>
        <v>168628335479836.44</v>
      </c>
      <c r="J59" s="56">
        <f t="shared" si="25"/>
        <v>221901687115068.94</v>
      </c>
      <c r="K59" s="51">
        <f t="shared" si="32"/>
        <v>-6.7165256175452968E+16</v>
      </c>
      <c r="L59" s="56">
        <f t="shared" si="33"/>
        <v>3.3038165824217885E-3</v>
      </c>
      <c r="M59" s="38" t="str">
        <f t="shared" ca="1" si="35"/>
        <v/>
      </c>
      <c r="N59" s="41" t="str">
        <f t="shared" ca="1" si="18"/>
        <v/>
      </c>
      <c r="O59" s="57">
        <f t="shared" si="34"/>
        <v>302.5985021899595</v>
      </c>
      <c r="P59" s="38" t="str">
        <f t="shared" ca="1" si="36"/>
        <v/>
      </c>
      <c r="Q59" s="46" t="str">
        <f t="shared" si="26"/>
        <v/>
      </c>
      <c r="R59" s="46" t="str">
        <f t="shared" si="27"/>
        <v/>
      </c>
      <c r="S59" s="57">
        <f t="shared" ca="1" si="28"/>
        <v>295.57507955531946</v>
      </c>
      <c r="T59" s="51">
        <f t="shared" ca="1" si="29"/>
        <v>221901687115068.94</v>
      </c>
      <c r="U59" s="58">
        <f>IF(CouplingMode="AC",B59-(A$11-A$10)*SUM(B$9:B59)/0.21,B59)</f>
        <v>0.108239</v>
      </c>
      <c r="V59" s="58" t="e">
        <f ca="1">IF(G59&gt;Traps,CalcImpliedV(SampleDoping,T59),0.1)</f>
        <v>#NAME?</v>
      </c>
      <c r="W59" s="37">
        <f t="shared" ca="1" si="30"/>
        <v>1.4747634374050939E-2</v>
      </c>
      <c r="X59" s="41" t="str">
        <f t="shared" si="31"/>
        <v/>
      </c>
    </row>
    <row r="60" spans="1:24" x14ac:dyDescent="0.2">
      <c r="A60" s="53">
        <v>5.1499199999999997E-3</v>
      </c>
      <c r="B60" s="53">
        <v>0.10487200000000001</v>
      </c>
      <c r="C60" s="54">
        <v>4.43396E-6</v>
      </c>
      <c r="D60" s="55">
        <f t="shared" si="19"/>
        <v>4.0850351873532244E-4</v>
      </c>
      <c r="E60" s="55">
        <f t="shared" si="20"/>
        <v>4.0850351873532244E-4</v>
      </c>
      <c r="F60" s="77">
        <f t="shared" si="21"/>
        <v>3.0768187254735097E-3</v>
      </c>
      <c r="G60" s="56">
        <f t="shared" si="22"/>
        <v>214944234441233.69</v>
      </c>
      <c r="H60" s="56" t="str">
        <f t="shared" ca="1" si="23"/>
        <v/>
      </c>
      <c r="I60" s="56">
        <f t="shared" si="24"/>
        <v>93138802271653.516</v>
      </c>
      <c r="J60" s="56">
        <f t="shared" si="25"/>
        <v>214944234441233.69</v>
      </c>
      <c r="K60" s="51">
        <f t="shared" si="32"/>
        <v>-6.4533817898047864E+16</v>
      </c>
      <c r="L60" s="56">
        <f t="shared" si="33"/>
        <v>3.3307224249587704E-3</v>
      </c>
      <c r="M60" s="38" t="str">
        <f t="shared" ca="1" si="35"/>
        <v/>
      </c>
      <c r="N60" s="41" t="str">
        <f t="shared" ca="1" si="18"/>
        <v/>
      </c>
      <c r="O60" s="57">
        <f t="shared" si="34"/>
        <v>300.15847225303088</v>
      </c>
      <c r="P60" s="38" t="str">
        <f t="shared" ca="1" si="36"/>
        <v/>
      </c>
      <c r="Q60" s="46" t="str">
        <f t="shared" si="26"/>
        <v/>
      </c>
      <c r="R60" s="46" t="str">
        <f t="shared" si="27"/>
        <v/>
      </c>
      <c r="S60" s="57">
        <f t="shared" ca="1" si="28"/>
        <v>291.49978349189155</v>
      </c>
      <c r="T60" s="51">
        <f t="shared" ca="1" si="29"/>
        <v>214944234441233.69</v>
      </c>
      <c r="U60" s="58">
        <f>IF(CouplingMode="AC",B60-(A$11-A$10)*SUM(B$9:B60)/0.21,B60)</f>
        <v>0.10487200000000001</v>
      </c>
      <c r="V60" s="58" t="e">
        <f ca="1">IF(G60&gt;Traps,CalcImpliedV(SampleDoping,T60),0.1)</f>
        <v>#NAME?</v>
      </c>
      <c r="W60" s="37">
        <f t="shared" ca="1" si="30"/>
        <v>1.4169843239127289E-2</v>
      </c>
      <c r="X60" s="41" t="str">
        <f t="shared" si="31"/>
        <v/>
      </c>
    </row>
    <row r="61" spans="1:24" x14ac:dyDescent="0.2">
      <c r="A61" s="53">
        <v>5.2499199999999999E-3</v>
      </c>
      <c r="B61" s="53">
        <v>0.101782</v>
      </c>
      <c r="C61" s="54">
        <v>9.6292700000000007E-6</v>
      </c>
      <c r="D61" s="55">
        <f t="shared" si="19"/>
        <v>8.8715069099686928E-4</v>
      </c>
      <c r="E61" s="55">
        <f t="shared" si="20"/>
        <v>8.8715069099686928E-4</v>
      </c>
      <c r="F61" s="77">
        <f t="shared" si="21"/>
        <v>2.9858312003517434E-3</v>
      </c>
      <c r="G61" s="56">
        <f t="shared" si="22"/>
        <v>208562171619336.12</v>
      </c>
      <c r="H61" s="56" t="str">
        <f t="shared" ca="1" si="23"/>
        <v/>
      </c>
      <c r="I61" s="56">
        <f t="shared" si="24"/>
        <v>202270357547286.19</v>
      </c>
      <c r="J61" s="56">
        <f t="shared" si="25"/>
        <v>208562171619336.12</v>
      </c>
      <c r="K61" s="51">
        <f t="shared" si="32"/>
        <v>-6.31792487287538E+16</v>
      </c>
      <c r="L61" s="56">
        <f t="shared" si="33"/>
        <v>3.3011182598063475E-3</v>
      </c>
      <c r="M61" s="38" t="str">
        <f t="shared" ca="1" si="35"/>
        <v/>
      </c>
      <c r="N61" s="41" t="str">
        <f t="shared" ca="1" si="18"/>
        <v/>
      </c>
      <c r="O61" s="57">
        <f t="shared" si="34"/>
        <v>302.85544398690126</v>
      </c>
      <c r="P61" s="38" t="str">
        <f t="shared" ca="1" si="36"/>
        <v/>
      </c>
      <c r="Q61" s="46" t="str">
        <f t="shared" si="26"/>
        <v/>
      </c>
      <c r="R61" s="46" t="str">
        <f t="shared" si="27"/>
        <v/>
      </c>
      <c r="S61" s="57">
        <f t="shared" ca="1" si="28"/>
        <v>287.76151940100669</v>
      </c>
      <c r="T61" s="51">
        <f t="shared" ca="1" si="29"/>
        <v>208562171619336.12</v>
      </c>
      <c r="U61" s="58">
        <f>IF(CouplingMode="AC",B61-(A$11-A$10)*SUM(B$9:B61)/0.21,B61)</f>
        <v>0.101782</v>
      </c>
      <c r="V61" s="58" t="e">
        <f ca="1">IF(G61&gt;Traps,CalcImpliedV(SampleDoping,T61),0.1)</f>
        <v>#NAME?</v>
      </c>
      <c r="W61" s="37">
        <f t="shared" ca="1" si="30"/>
        <v>1.387241727843525E-2</v>
      </c>
      <c r="X61" s="41" t="str">
        <f t="shared" si="31"/>
        <v/>
      </c>
    </row>
    <row r="62" spans="1:24" x14ac:dyDescent="0.2">
      <c r="A62" s="53">
        <v>5.3499200000000002E-3</v>
      </c>
      <c r="B62" s="53">
        <v>9.8881800000000006E-2</v>
      </c>
      <c r="C62" s="54">
        <v>6.6800499999999997E-6</v>
      </c>
      <c r="D62" s="55">
        <f t="shared" si="19"/>
        <v>6.1543720068017987E-4</v>
      </c>
      <c r="E62" s="55">
        <f t="shared" si="20"/>
        <v>6.1543720068017987E-4</v>
      </c>
      <c r="F62" s="77">
        <f t="shared" si="21"/>
        <v>2.900450751703032E-3</v>
      </c>
      <c r="G62" s="56">
        <f t="shared" si="22"/>
        <v>202574742700260.56</v>
      </c>
      <c r="H62" s="56" t="str">
        <f t="shared" ca="1" si="23"/>
        <v/>
      </c>
      <c r="I62" s="56">
        <f t="shared" si="24"/>
        <v>140319681755081.02</v>
      </c>
      <c r="J62" s="56">
        <f t="shared" si="25"/>
        <v>202574742700260.56</v>
      </c>
      <c r="K62" s="51">
        <f t="shared" si="32"/>
        <v>-5.977155980047556E+16</v>
      </c>
      <c r="L62" s="56">
        <f t="shared" si="33"/>
        <v>3.3891493442111714E-3</v>
      </c>
      <c r="M62" s="38" t="str">
        <f t="shared" ca="1" si="35"/>
        <v/>
      </c>
      <c r="N62" s="41" t="str">
        <f t="shared" ca="1" si="18"/>
        <v/>
      </c>
      <c r="O62" s="57">
        <f t="shared" si="34"/>
        <v>294.99116960021649</v>
      </c>
      <c r="P62" s="38" t="str">
        <f t="shared" ca="1" si="36"/>
        <v/>
      </c>
      <c r="Q62" s="46" t="str">
        <f t="shared" si="26"/>
        <v/>
      </c>
      <c r="R62" s="46" t="str">
        <f t="shared" si="27"/>
        <v/>
      </c>
      <c r="S62" s="57">
        <f t="shared" ca="1" si="28"/>
        <v>284.25441031268679</v>
      </c>
      <c r="T62" s="51">
        <f t="shared" ca="1" si="29"/>
        <v>202574742700260.56</v>
      </c>
      <c r="U62" s="58">
        <f>IF(CouplingMode="AC",B62-(A$11-A$10)*SUM(B$9:B62)/0.21,B62)</f>
        <v>9.8881800000000006E-2</v>
      </c>
      <c r="V62" s="58" t="e">
        <f ca="1">IF(G62&gt;Traps,CalcImpliedV(SampleDoping,T62),0.1)</f>
        <v>#NAME?</v>
      </c>
      <c r="W62" s="37">
        <f t="shared" ca="1" si="30"/>
        <v>1.3124182949611001E-2</v>
      </c>
      <c r="X62" s="41" t="str">
        <f t="shared" si="31"/>
        <v/>
      </c>
    </row>
    <row r="63" spans="1:24" x14ac:dyDescent="0.2">
      <c r="A63" s="53">
        <v>5.4499199999999996E-3</v>
      </c>
      <c r="B63" s="53">
        <v>9.5936499999999994E-2</v>
      </c>
      <c r="C63" s="54">
        <v>5.1566199999999996E-6</v>
      </c>
      <c r="D63" s="55">
        <f t="shared" si="19"/>
        <v>4.7508263826938856E-4</v>
      </c>
      <c r="E63" s="55">
        <f t="shared" si="20"/>
        <v>4.7508263826938856E-4</v>
      </c>
      <c r="F63" s="77">
        <f t="shared" si="21"/>
        <v>2.8137606808524424E-3</v>
      </c>
      <c r="G63" s="56">
        <f t="shared" si="22"/>
        <v>196496808621178.62</v>
      </c>
      <c r="H63" s="56" t="str">
        <f t="shared" ca="1" si="23"/>
        <v/>
      </c>
      <c r="I63" s="56">
        <f t="shared" si="24"/>
        <v>108318841525420.59</v>
      </c>
      <c r="J63" s="56">
        <f t="shared" si="25"/>
        <v>196496808621178.62</v>
      </c>
      <c r="K63" s="51">
        <f t="shared" si="32"/>
        <v>-5.6999485022158712E+16</v>
      </c>
      <c r="L63" s="56">
        <f t="shared" si="33"/>
        <v>3.4473435776619724E-3</v>
      </c>
      <c r="M63" s="38" t="str">
        <f t="shared" ca="1" si="35"/>
        <v/>
      </c>
      <c r="N63" s="41" t="str">
        <f t="shared" ca="1" si="18"/>
        <v/>
      </c>
      <c r="O63" s="57">
        <f t="shared" si="34"/>
        <v>290.01433206913777</v>
      </c>
      <c r="P63" s="38" t="str">
        <f t="shared" ca="1" si="36"/>
        <v/>
      </c>
      <c r="Q63" s="46" t="str">
        <f t="shared" si="26"/>
        <v/>
      </c>
      <c r="R63" s="46" t="str">
        <f t="shared" si="27"/>
        <v/>
      </c>
      <c r="S63" s="57">
        <f t="shared" ca="1" si="28"/>
        <v>280.69428824108343</v>
      </c>
      <c r="T63" s="51">
        <f t="shared" ca="1" si="29"/>
        <v>196496808621178.62</v>
      </c>
      <c r="U63" s="58">
        <f>IF(CouplingMode="AC",B63-(A$11-A$10)*SUM(B$9:B63)/0.21,B63)</f>
        <v>9.5936499999999994E-2</v>
      </c>
      <c r="V63" s="58" t="e">
        <f ca="1">IF(G63&gt;Traps,CalcImpliedV(SampleDoping,T63),0.1)</f>
        <v>#NAME?</v>
      </c>
      <c r="W63" s="37">
        <f t="shared" ca="1" si="30"/>
        <v>1.2515511925095705E-2</v>
      </c>
      <c r="X63" s="41" t="str">
        <f t="shared" si="31"/>
        <v/>
      </c>
    </row>
    <row r="64" spans="1:24" x14ac:dyDescent="0.2">
      <c r="A64" s="53">
        <v>5.5499199999999999E-3</v>
      </c>
      <c r="B64" s="53">
        <v>9.3315899999999993E-2</v>
      </c>
      <c r="C64" s="54">
        <v>1.07035E-5</v>
      </c>
      <c r="D64" s="55">
        <f t="shared" si="19"/>
        <v>9.8612017536999072E-4</v>
      </c>
      <c r="E64" s="55">
        <f t="shared" si="20"/>
        <v>9.8612017536999072E-4</v>
      </c>
      <c r="F64" s="77">
        <f t="shared" si="21"/>
        <v>2.7366429553022792E-3</v>
      </c>
      <c r="G64" s="56">
        <f t="shared" si="22"/>
        <v>191091136040074.66</v>
      </c>
      <c r="H64" s="56" t="str">
        <f t="shared" ca="1" si="23"/>
        <v/>
      </c>
      <c r="I64" s="56">
        <f t="shared" si="24"/>
        <v>224835399984357.91</v>
      </c>
      <c r="J64" s="56">
        <f t="shared" si="25"/>
        <v>191091136040074.66</v>
      </c>
      <c r="K64" s="51">
        <f t="shared" si="32"/>
        <v>-5.491180625559816E+16</v>
      </c>
      <c r="L64" s="56">
        <f t="shared" si="33"/>
        <v>3.4799644934388452E-3</v>
      </c>
      <c r="M64" s="38" t="str">
        <f t="shared" ca="1" si="35"/>
        <v/>
      </c>
      <c r="N64" s="41" t="str">
        <f t="shared" ca="1" si="18"/>
        <v/>
      </c>
      <c r="O64" s="57">
        <f t="shared" si="34"/>
        <v>287.29863751057775</v>
      </c>
      <c r="P64" s="38" t="str">
        <f t="shared" ca="1" si="36"/>
        <v/>
      </c>
      <c r="Q64" s="46" t="str">
        <f t="shared" si="26"/>
        <v/>
      </c>
      <c r="R64" s="46" t="str">
        <f t="shared" si="27"/>
        <v/>
      </c>
      <c r="S64" s="57">
        <f t="shared" ca="1" si="28"/>
        <v>277.5279402653652</v>
      </c>
      <c r="T64" s="51">
        <f t="shared" ca="1" si="29"/>
        <v>191091136040074.66</v>
      </c>
      <c r="U64" s="58">
        <f>IF(CouplingMode="AC",B64-(A$11-A$10)*SUM(B$9:B64)/0.21,B64)</f>
        <v>9.3315899999999993E-2</v>
      </c>
      <c r="V64" s="58" t="e">
        <f ca="1">IF(G64&gt;Traps,CalcImpliedV(SampleDoping,T64),0.1)</f>
        <v>#NAME?</v>
      </c>
      <c r="W64" s="37">
        <f t="shared" ca="1" si="30"/>
        <v>1.2057115353819661E-2</v>
      </c>
      <c r="X64" s="41" t="str">
        <f t="shared" si="31"/>
        <v/>
      </c>
    </row>
    <row r="65" spans="1:24" x14ac:dyDescent="0.2">
      <c r="A65" s="53">
        <v>5.6499200000000001E-3</v>
      </c>
      <c r="B65" s="53">
        <v>9.0751899999999996E-2</v>
      </c>
      <c r="C65" s="54">
        <v>5.4724200000000002E-7</v>
      </c>
      <c r="D65" s="55">
        <f t="shared" si="19"/>
        <v>5.0417749054965612E-5</v>
      </c>
      <c r="E65" s="55">
        <f t="shared" si="20"/>
        <v>5.0417749054965612E-5</v>
      </c>
      <c r="F65" s="77">
        <f t="shared" si="21"/>
        <v>2.6612048014963141E-3</v>
      </c>
      <c r="G65" s="56">
        <f t="shared" si="22"/>
        <v>185804232438349.72</v>
      </c>
      <c r="H65" s="56" t="str">
        <f t="shared" ca="1" si="23"/>
        <v/>
      </c>
      <c r="I65" s="56">
        <f t="shared" si="24"/>
        <v>11495246784532.158</v>
      </c>
      <c r="J65" s="56">
        <f t="shared" si="25"/>
        <v>185804232438349.72</v>
      </c>
      <c r="K65" s="51">
        <f t="shared" si="32"/>
        <v>-5.2878976559654824E+16</v>
      </c>
      <c r="L65" s="56">
        <f t="shared" si="33"/>
        <v>3.513763777722452E-3</v>
      </c>
      <c r="M65" s="38" t="str">
        <f t="shared" ca="1" si="35"/>
        <v/>
      </c>
      <c r="N65" s="41" t="str">
        <f t="shared" ca="1" si="18"/>
        <v/>
      </c>
      <c r="O65" s="57">
        <f t="shared" si="34"/>
        <v>284.53780464428769</v>
      </c>
      <c r="P65" s="38" t="str">
        <f t="shared" ca="1" si="36"/>
        <v/>
      </c>
      <c r="Q65" s="46" t="str">
        <f t="shared" si="26"/>
        <v/>
      </c>
      <c r="R65" s="46" t="str">
        <f t="shared" si="27"/>
        <v/>
      </c>
      <c r="S65" s="57">
        <f t="shared" ca="1" si="28"/>
        <v>274.4311606757808</v>
      </c>
      <c r="T65" s="51">
        <f t="shared" ca="1" si="29"/>
        <v>185804232438349.72</v>
      </c>
      <c r="U65" s="58">
        <f>IF(CouplingMode="AC",B65-(A$11-A$10)*SUM(B$9:B65)/0.21,B65)</f>
        <v>9.0751899999999996E-2</v>
      </c>
      <c r="V65" s="58" t="e">
        <f ca="1">IF(G65&gt;Traps,CalcImpliedV(SampleDoping,T65),0.1)</f>
        <v>#NAME?</v>
      </c>
      <c r="W65" s="37">
        <f t="shared" ca="1" si="30"/>
        <v>1.1610762122884736E-2</v>
      </c>
      <c r="X65" s="41" t="str">
        <f t="shared" si="31"/>
        <v/>
      </c>
    </row>
    <row r="66" spans="1:24" x14ac:dyDescent="0.2">
      <c r="A66" s="53">
        <v>5.7499200000000004E-3</v>
      </c>
      <c r="B66" s="53">
        <v>8.8161600000000007E-2</v>
      </c>
      <c r="C66" s="54">
        <v>-1.6793200000000001E-6</v>
      </c>
      <c r="D66" s="55">
        <f t="shared" si="19"/>
        <v>1.0000000000000001E-5</v>
      </c>
      <c r="E66" s="55">
        <f t="shared" si="20"/>
        <v>1.0000000000000001E-5</v>
      </c>
      <c r="F66" s="77">
        <f t="shared" si="21"/>
        <v>2.5850068832631995E-3</v>
      </c>
      <c r="G66" s="56">
        <f t="shared" si="22"/>
        <v>180465127663875.91</v>
      </c>
      <c r="H66" s="56" t="str">
        <f t="shared" ca="1" si="23"/>
        <v/>
      </c>
      <c r="I66" s="56">
        <f t="shared" si="24"/>
        <v>2280000000000</v>
      </c>
      <c r="J66" s="56">
        <f t="shared" si="25"/>
        <v>180465127663875.91</v>
      </c>
      <c r="K66" s="51">
        <f t="shared" si="32"/>
        <v>-5.1110000324603544E+16</v>
      </c>
      <c r="L66" s="56">
        <f t="shared" si="33"/>
        <v>3.5309161909162197E-3</v>
      </c>
      <c r="M66" s="38" t="str">
        <f t="shared" ca="1" si="35"/>
        <v/>
      </c>
      <c r="N66" s="41" t="str">
        <f t="shared" ca="1" si="18"/>
        <v/>
      </c>
      <c r="O66" s="57">
        <f t="shared" si="34"/>
        <v>283.15855047853654</v>
      </c>
      <c r="P66" s="38" t="str">
        <f t="shared" ca="1" si="36"/>
        <v/>
      </c>
      <c r="Q66" s="46" t="str">
        <f t="shared" si="26"/>
        <v/>
      </c>
      <c r="R66" s="46" t="str">
        <f t="shared" si="27"/>
        <v/>
      </c>
      <c r="S66" s="57">
        <f t="shared" ca="1" si="28"/>
        <v>271.30380448815356</v>
      </c>
      <c r="T66" s="51">
        <f t="shared" ca="1" si="29"/>
        <v>180465127663875.91</v>
      </c>
      <c r="U66" s="58">
        <f>IF(CouplingMode="AC",B66-(A$11-A$10)*SUM(B$9:B66)/0.21,B66)</f>
        <v>8.8161600000000007E-2</v>
      </c>
      <c r="V66" s="58" t="e">
        <f ca="1">IF(G66&gt;Traps,CalcImpliedV(SampleDoping,T66),0.1)</f>
        <v>#NAME?</v>
      </c>
      <c r="W66" s="37">
        <f t="shared" ca="1" si="30"/>
        <v>1.122234382127397E-2</v>
      </c>
      <c r="X66" s="41" t="str">
        <f t="shared" si="31"/>
        <v/>
      </c>
    </row>
    <row r="67" spans="1:24" x14ac:dyDescent="0.2">
      <c r="A67" s="53">
        <v>5.8499199999999998E-3</v>
      </c>
      <c r="B67" s="53">
        <v>8.5688899999999998E-2</v>
      </c>
      <c r="C67" s="54">
        <v>-1.3105099999999999E-5</v>
      </c>
      <c r="D67" s="55">
        <f t="shared" si="19"/>
        <v>1.0000000000000001E-5</v>
      </c>
      <c r="E67" s="55">
        <f t="shared" si="20"/>
        <v>1.0000000000000001E-5</v>
      </c>
      <c r="F67" s="77">
        <f t="shared" si="21"/>
        <v>2.5122815228116047E-3</v>
      </c>
      <c r="G67" s="56">
        <f t="shared" si="22"/>
        <v>175370324529450.56</v>
      </c>
      <c r="H67" s="56" t="str">
        <f t="shared" ca="1" si="23"/>
        <v/>
      </c>
      <c r="I67" s="56">
        <f t="shared" si="24"/>
        <v>2280000000000</v>
      </c>
      <c r="J67" s="56">
        <f t="shared" si="25"/>
        <v>175370324529450.56</v>
      </c>
      <c r="K67" s="51">
        <f t="shared" si="32"/>
        <v>-4.929482162339088E+16</v>
      </c>
      <c r="L67" s="56">
        <f t="shared" si="33"/>
        <v>3.5575810755390908E-3</v>
      </c>
      <c r="M67" s="38" t="str">
        <f t="shared" ca="1" si="35"/>
        <v/>
      </c>
      <c r="N67" s="41" t="str">
        <f t="shared" ca="1" si="18"/>
        <v/>
      </c>
      <c r="O67" s="57">
        <f t="shared" si="34"/>
        <v>281.03881654100655</v>
      </c>
      <c r="P67" s="38" t="str">
        <f t="shared" ca="1" si="36"/>
        <v/>
      </c>
      <c r="Q67" s="46" t="str">
        <f t="shared" si="26"/>
        <v/>
      </c>
      <c r="R67" s="46" t="str">
        <f t="shared" si="27"/>
        <v/>
      </c>
      <c r="S67" s="57">
        <f t="shared" ca="1" si="28"/>
        <v>268.31954686815618</v>
      </c>
      <c r="T67" s="51">
        <f t="shared" ca="1" si="29"/>
        <v>175370324529450.56</v>
      </c>
      <c r="U67" s="58">
        <f>IF(CouplingMode="AC",B67-(A$11-A$10)*SUM(B$9:B67)/0.21,B67)</f>
        <v>8.5688899999999998E-2</v>
      </c>
      <c r="V67" s="58" t="e">
        <f ca="1">IF(G67&gt;Traps,CalcImpliedV(SampleDoping,T67),0.1)</f>
        <v>#NAME?</v>
      </c>
      <c r="W67" s="37">
        <f t="shared" ca="1" si="30"/>
        <v>1.0823780734741256E-2</v>
      </c>
      <c r="X67" s="41" t="str">
        <f t="shared" si="31"/>
        <v/>
      </c>
    </row>
    <row r="68" spans="1:24" x14ac:dyDescent="0.2">
      <c r="A68" s="53">
        <v>5.94992E-3</v>
      </c>
      <c r="B68" s="53">
        <v>8.3447199999999999E-2</v>
      </c>
      <c r="C68" s="54">
        <v>-6.3668200000000003E-6</v>
      </c>
      <c r="D68" s="55">
        <f t="shared" si="19"/>
        <v>1.0000000000000001E-5</v>
      </c>
      <c r="E68" s="55">
        <f t="shared" si="20"/>
        <v>1.0000000000000001E-5</v>
      </c>
      <c r="F68" s="77">
        <f t="shared" si="21"/>
        <v>2.4463612863798861E-3</v>
      </c>
      <c r="G68" s="56">
        <f t="shared" si="22"/>
        <v>170753089832222.47</v>
      </c>
      <c r="H68" s="56" t="str">
        <f t="shared" ca="1" si="23"/>
        <v/>
      </c>
      <c r="I68" s="56">
        <f t="shared" si="24"/>
        <v>2280000000000</v>
      </c>
      <c r="J68" s="56">
        <f t="shared" si="25"/>
        <v>170753089832222.47</v>
      </c>
      <c r="K68" s="51">
        <f t="shared" si="32"/>
        <v>-4.7021902925176288E+16</v>
      </c>
      <c r="L68" s="56">
        <f t="shared" si="33"/>
        <v>3.6313521829164108E-3</v>
      </c>
      <c r="M68" s="38" t="str">
        <f t="shared" ca="1" si="35"/>
        <v/>
      </c>
      <c r="N68" s="41" t="str">
        <f t="shared" ca="1" si="18"/>
        <v/>
      </c>
      <c r="O68" s="57">
        <f t="shared" si="34"/>
        <v>275.3311142089579</v>
      </c>
      <c r="P68" s="38" t="str">
        <f t="shared" ca="1" si="36"/>
        <v/>
      </c>
      <c r="Q68" s="46" t="str">
        <f t="shared" si="26"/>
        <v/>
      </c>
      <c r="R68" s="46" t="str">
        <f t="shared" si="27"/>
        <v/>
      </c>
      <c r="S68" s="57">
        <f t="shared" ca="1" si="28"/>
        <v>265.6150227746902</v>
      </c>
      <c r="T68" s="51">
        <f t="shared" ca="1" si="29"/>
        <v>170753089832222.47</v>
      </c>
      <c r="U68" s="58">
        <f>IF(CouplingMode="AC",B68-(A$11-A$10)*SUM(B$9:B68)/0.21,B68)</f>
        <v>8.3447199999999999E-2</v>
      </c>
      <c r="V68" s="58" t="e">
        <f ca="1">IF(G68&gt;Traps,CalcImpliedV(SampleDoping,T68),0.1)</f>
        <v>#NAME?</v>
      </c>
      <c r="W68" s="37">
        <f t="shared" ca="1" si="30"/>
        <v>1.0324710592945782E-2</v>
      </c>
      <c r="X68" s="41" t="str">
        <f t="shared" si="31"/>
        <v/>
      </c>
    </row>
    <row r="69" spans="1:24" x14ac:dyDescent="0.2">
      <c r="A69" s="53">
        <v>6.0499200000000003E-3</v>
      </c>
      <c r="B69" s="53">
        <v>8.1144999999999995E-2</v>
      </c>
      <c r="C69" s="54">
        <v>1.46521E-6</v>
      </c>
      <c r="D69" s="55">
        <f t="shared" si="19"/>
        <v>1.3499071725639876E-4</v>
      </c>
      <c r="E69" s="55">
        <f t="shared" si="20"/>
        <v>1.3499071725639876E-4</v>
      </c>
      <c r="F69" s="77">
        <f t="shared" si="21"/>
        <v>2.3786729624660358E-3</v>
      </c>
      <c r="G69" s="56">
        <f t="shared" si="22"/>
        <v>166012840542481</v>
      </c>
      <c r="H69" s="56" t="str">
        <f t="shared" ca="1" si="23"/>
        <v/>
      </c>
      <c r="I69" s="56">
        <f t="shared" si="24"/>
        <v>30777883534458.918</v>
      </c>
      <c r="J69" s="56">
        <f t="shared" si="25"/>
        <v>166012840542481</v>
      </c>
      <c r="K69" s="51">
        <f t="shared" si="32"/>
        <v>-4.5028636734654336E+16</v>
      </c>
      <c r="L69" s="56">
        <f t="shared" si="33"/>
        <v>3.6868280405814823E-3</v>
      </c>
      <c r="M69" s="38" t="str">
        <f t="shared" ca="1" si="35"/>
        <v/>
      </c>
      <c r="N69" s="41" t="str">
        <f t="shared" ca="1" si="18"/>
        <v/>
      </c>
      <c r="O69" s="57">
        <f t="shared" si="34"/>
        <v>271.19011694486574</v>
      </c>
      <c r="P69" s="38" t="str">
        <f t="shared" ca="1" si="36"/>
        <v/>
      </c>
      <c r="Q69" s="46" t="str">
        <f t="shared" si="26"/>
        <v/>
      </c>
      <c r="R69" s="46" t="str">
        <f t="shared" si="27"/>
        <v/>
      </c>
      <c r="S69" s="57">
        <f t="shared" ca="1" si="28"/>
        <v>262.8384434466268</v>
      </c>
      <c r="T69" s="51">
        <f t="shared" ca="1" si="29"/>
        <v>166012840542481</v>
      </c>
      <c r="U69" s="58">
        <f>IF(CouplingMode="AC",B69-(A$11-A$10)*SUM(B$9:B69)/0.21,B69)</f>
        <v>8.1144999999999995E-2</v>
      </c>
      <c r="V69" s="58" t="e">
        <f ca="1">IF(G69&gt;Traps,CalcImpliedV(SampleDoping,T69),0.1)</f>
        <v>#NAME?</v>
      </c>
      <c r="W69" s="37">
        <f t="shared" ca="1" si="30"/>
        <v>9.8870444145992675E-3</v>
      </c>
      <c r="X69" s="41" t="str">
        <f t="shared" si="31"/>
        <v/>
      </c>
    </row>
    <row r="70" spans="1:24" x14ac:dyDescent="0.2">
      <c r="A70" s="53">
        <v>6.1499199999999997E-3</v>
      </c>
      <c r="B70" s="53">
        <v>7.9017100000000007E-2</v>
      </c>
      <c r="C70" s="54">
        <v>-9.4136999999999993E-6</v>
      </c>
      <c r="D70" s="55">
        <f t="shared" si="19"/>
        <v>1.0000000000000001E-5</v>
      </c>
      <c r="E70" s="55">
        <f t="shared" si="20"/>
        <v>1.0000000000000001E-5</v>
      </c>
      <c r="F70" s="77">
        <f t="shared" si="21"/>
        <v>2.3161192445347034E-3</v>
      </c>
      <c r="G70" s="56">
        <f t="shared" si="22"/>
        <v>161632918194772.56</v>
      </c>
      <c r="H70" s="56" t="str">
        <f t="shared" ca="1" si="23"/>
        <v/>
      </c>
      <c r="I70" s="56">
        <f t="shared" si="24"/>
        <v>2280000000000</v>
      </c>
      <c r="J70" s="56">
        <f t="shared" si="25"/>
        <v>161632918194772.56</v>
      </c>
      <c r="K70" s="51">
        <f t="shared" si="32"/>
        <v>-4.4063804517933472E+16</v>
      </c>
      <c r="L70" s="56">
        <f t="shared" si="33"/>
        <v>3.668156210365126E-3</v>
      </c>
      <c r="M70" s="38" t="str">
        <f t="shared" ca="1" si="35"/>
        <v/>
      </c>
      <c r="N70" s="41" t="str">
        <f t="shared" ca="1" si="18"/>
        <v/>
      </c>
      <c r="O70" s="57">
        <f t="shared" si="34"/>
        <v>272.57315737835194</v>
      </c>
      <c r="P70" s="38" t="str">
        <f t="shared" ca="1" si="36"/>
        <v/>
      </c>
      <c r="Q70" s="46" t="str">
        <f t="shared" si="26"/>
        <v/>
      </c>
      <c r="R70" s="46" t="str">
        <f t="shared" si="27"/>
        <v/>
      </c>
      <c r="S70" s="57">
        <f t="shared" ca="1" si="28"/>
        <v>260.27292397584944</v>
      </c>
      <c r="T70" s="51">
        <f t="shared" ca="1" si="29"/>
        <v>161632918194772.56</v>
      </c>
      <c r="U70" s="58">
        <f>IF(CouplingMode="AC",B70-(A$11-A$10)*SUM(B$9:B70)/0.21,B70)</f>
        <v>7.9017100000000007E-2</v>
      </c>
      <c r="V70" s="58" t="e">
        <f ca="1">IF(G70&gt;Traps,CalcImpliedV(SampleDoping,T70),0.1)</f>
        <v>#NAME?</v>
      </c>
      <c r="W70" s="37">
        <f t="shared" ca="1" si="30"/>
        <v>9.6751939196449317E-3</v>
      </c>
      <c r="X70" s="41" t="str">
        <f t="shared" si="31"/>
        <v/>
      </c>
    </row>
    <row r="71" spans="1:24" x14ac:dyDescent="0.2">
      <c r="A71" s="53">
        <v>6.24992E-3</v>
      </c>
      <c r="B71" s="53">
        <v>7.6967800000000003E-2</v>
      </c>
      <c r="C71" s="54">
        <v>-6.5035399999999999E-6</v>
      </c>
      <c r="D71" s="55">
        <f t="shared" si="19"/>
        <v>1.0000000000000001E-5</v>
      </c>
      <c r="E71" s="55">
        <f t="shared" si="20"/>
        <v>1.0000000000000001E-5</v>
      </c>
      <c r="F71" s="77">
        <f t="shared" si="21"/>
        <v>2.255885124158738E-3</v>
      </c>
      <c r="G71" s="56">
        <f t="shared" si="22"/>
        <v>157416091980848.34</v>
      </c>
      <c r="H71" s="56" t="str">
        <f t="shared" ca="1" si="23"/>
        <v/>
      </c>
      <c r="I71" s="56">
        <f t="shared" si="24"/>
        <v>2280000000000</v>
      </c>
      <c r="J71" s="56">
        <f t="shared" si="25"/>
        <v>157416091980848.34</v>
      </c>
      <c r="K71" s="51">
        <f t="shared" si="32"/>
        <v>-4.2496175149715848E+16</v>
      </c>
      <c r="L71" s="56">
        <f t="shared" si="33"/>
        <v>3.7042414152865452E-3</v>
      </c>
      <c r="M71" s="38" t="str">
        <f t="shared" ca="1" si="35"/>
        <v/>
      </c>
      <c r="N71" s="41" t="str">
        <f t="shared" ca="1" si="18"/>
        <v/>
      </c>
      <c r="O71" s="57">
        <f t="shared" si="34"/>
        <v>269.91967200462017</v>
      </c>
      <c r="P71" s="38" t="str">
        <f t="shared" ca="1" si="36"/>
        <v/>
      </c>
      <c r="Q71" s="46" t="str">
        <f t="shared" si="26"/>
        <v/>
      </c>
      <c r="R71" s="46" t="str">
        <f t="shared" si="27"/>
        <v/>
      </c>
      <c r="S71" s="57">
        <f t="shared" ca="1" si="28"/>
        <v>257.80293731903873</v>
      </c>
      <c r="T71" s="51">
        <f t="shared" ca="1" si="29"/>
        <v>157416091980848.34</v>
      </c>
      <c r="U71" s="58">
        <f>IF(CouplingMode="AC",B71-(A$11-A$10)*SUM(B$9:B71)/0.21,B71)</f>
        <v>7.6967800000000003E-2</v>
      </c>
      <c r="V71" s="58" t="e">
        <f ca="1">IF(G71&gt;Traps,CalcImpliedV(SampleDoping,T71),0.1)</f>
        <v>#NAME?</v>
      </c>
      <c r="W71" s="37">
        <f t="shared" ca="1" si="30"/>
        <v>9.3309858264589898E-3</v>
      </c>
      <c r="X71" s="41" t="str">
        <f t="shared" si="31"/>
        <v/>
      </c>
    </row>
    <row r="72" spans="1:24" x14ac:dyDescent="0.2">
      <c r="A72" s="53">
        <v>6.3499200000000002E-3</v>
      </c>
      <c r="B72" s="53">
        <v>7.4830499999999994E-2</v>
      </c>
      <c r="C72" s="54">
        <v>-6.8322699999999998E-7</v>
      </c>
      <c r="D72" s="55">
        <f t="shared" si="19"/>
        <v>1.0000000000000001E-5</v>
      </c>
      <c r="E72" s="55">
        <f t="shared" si="20"/>
        <v>1.0000000000000001E-5</v>
      </c>
      <c r="F72" s="77">
        <f t="shared" si="21"/>
        <v>2.1930738675364908E-3</v>
      </c>
      <c r="G72" s="56">
        <f t="shared" si="22"/>
        <v>153019561854072.06</v>
      </c>
      <c r="H72" s="56" t="str">
        <f t="shared" ca="1" si="23"/>
        <v/>
      </c>
      <c r="I72" s="56">
        <f t="shared" si="24"/>
        <v>2280000000000</v>
      </c>
      <c r="J72" s="56">
        <f t="shared" si="25"/>
        <v>153019561854072.06</v>
      </c>
      <c r="K72" s="51">
        <f t="shared" si="32"/>
        <v>-4.0877748991969752E+16</v>
      </c>
      <c r="L72" s="56">
        <f t="shared" si="33"/>
        <v>3.7433460899261371E-3</v>
      </c>
      <c r="M72" s="38" t="str">
        <f t="shared" ca="1" si="35"/>
        <v/>
      </c>
      <c r="N72" s="41" t="str">
        <f t="shared" ca="1" si="18"/>
        <v/>
      </c>
      <c r="O72" s="57">
        <f t="shared" si="34"/>
        <v>267.10180579641866</v>
      </c>
      <c r="P72" s="38" t="str">
        <f t="shared" ca="1" si="36"/>
        <v/>
      </c>
      <c r="Q72" s="46" t="str">
        <f t="shared" si="26"/>
        <v/>
      </c>
      <c r="R72" s="46" t="str">
        <f t="shared" si="27"/>
        <v/>
      </c>
      <c r="S72" s="57">
        <f t="shared" ca="1" si="28"/>
        <v>255.22768991767668</v>
      </c>
      <c r="T72" s="51">
        <f t="shared" ca="1" si="29"/>
        <v>153019561854072.06</v>
      </c>
      <c r="U72" s="58">
        <f>IF(CouplingMode="AC",B72-(A$11-A$10)*SUM(B$9:B72)/0.21,B72)</f>
        <v>7.4830499999999994E-2</v>
      </c>
      <c r="V72" s="58" t="e">
        <f ca="1">IF(G72&gt;Traps,CalcImpliedV(SampleDoping,T72),0.1)</f>
        <v>#NAME?</v>
      </c>
      <c r="W72" s="37">
        <f t="shared" ca="1" si="30"/>
        <v>8.9756241618880964E-3</v>
      </c>
      <c r="X72" s="41" t="str">
        <f t="shared" si="31"/>
        <v/>
      </c>
    </row>
    <row r="73" spans="1:24" x14ac:dyDescent="0.2">
      <c r="A73" s="53">
        <v>6.4499199999999996E-3</v>
      </c>
      <c r="B73" s="53">
        <v>7.2910600000000006E-2</v>
      </c>
      <c r="C73" s="54">
        <v>1.6269900000000002E-5</v>
      </c>
      <c r="D73" s="55">
        <f t="shared" ref="D73:D104" si="37">IF(C73&gt;0,C73/RefCellCal,0.00001)</f>
        <v>1.4989561023265486E-3</v>
      </c>
      <c r="E73" s="55">
        <f t="shared" ref="E73:E104" si="38">D73-BiasLight</f>
        <v>1.4989561023265486E-3</v>
      </c>
      <c r="F73" s="77">
        <f t="shared" ref="F73:F104" si="39">CalcConductance(B73,Dark_Voltage,A_cal,B_cal,C_cal)</f>
        <v>2.1366597797887604E-3</v>
      </c>
      <c r="G73" s="56">
        <f t="shared" ref="G73:G104" si="40">CalcDeltaN(F73,SampleDoping,Thickness,AreaFrac)</f>
        <v>149071431137973.34</v>
      </c>
      <c r="H73" s="56" t="str">
        <f t="shared" ref="H73:H104" ca="1" si="41">IF(AND(AND(G73&gt;=FitRangeMin,G73&lt;=FitRangeMax),A73&gt;TimeofMaxCD),G73,"")</f>
        <v/>
      </c>
      <c r="I73" s="56">
        <f t="shared" ref="I73:I104" si="42">E73*0.038*OptConst/1.6E-19</f>
        <v>341761991330453.06</v>
      </c>
      <c r="J73" s="56">
        <f t="shared" ref="J73:J104" si="43">IF(G73-BiasPtCD=0,0.00001,G73-BiasPtCD)</f>
        <v>149071431137973.34</v>
      </c>
      <c r="K73" s="51">
        <f t="shared" si="32"/>
        <v>-3.9281569668861688E+16</v>
      </c>
      <c r="L73" s="56">
        <f t="shared" si="33"/>
        <v>3.7949458841544602E-3</v>
      </c>
      <c r="M73" s="38" t="str">
        <f t="shared" ca="1" si="35"/>
        <v/>
      </c>
      <c r="N73" s="41" t="str">
        <f t="shared" ca="1" si="18"/>
        <v/>
      </c>
      <c r="O73" s="57">
        <f t="shared" si="34"/>
        <v>263.47147989668343</v>
      </c>
      <c r="P73" s="38" t="str">
        <f t="shared" ca="1" si="36"/>
        <v/>
      </c>
      <c r="Q73" s="46" t="str">
        <f t="shared" ref="Q73:Q104" si="44">IF(D73&gt;0.85*BiasLight,IF( D73&lt;1.15*BiasLight,D73,""),"")</f>
        <v/>
      </c>
      <c r="R73" s="46" t="str">
        <f t="shared" ref="R73:R104" si="45">IF(D73&gt;0.85*BiasLight,IF(D73&lt;1.15*BiasLight,G73,""),"")</f>
        <v/>
      </c>
      <c r="S73" s="57">
        <f t="shared" ref="S73:S104" ca="1" si="46">FitInterceptAuger+FitSlopeAuger*(G73+Traps)</f>
        <v>252.91509041905204</v>
      </c>
      <c r="T73" s="51">
        <f t="shared" ref="T73:T104" ca="1" si="47">G73-Traps</f>
        <v>149071431137973.34</v>
      </c>
      <c r="U73" s="58">
        <f>IF(CouplingMode="AC",B73-(A$11-A$10)*SUM(B$9:B73)/0.21,B73)</f>
        <v>7.2910600000000006E-2</v>
      </c>
      <c r="V73" s="58" t="e">
        <f ca="1">IF(G73&gt;Traps,CalcImpliedV(SampleDoping,T73),0.1)</f>
        <v>#NAME?</v>
      </c>
      <c r="W73" s="37">
        <f t="shared" ref="W73:W104" ca="1" si="48">IF(OR(L73="",L73&lt;0),"",(T73*Thickness*1.602E-19/(0.038*OptConst*L73)))</f>
        <v>8.6251472874885465E-3</v>
      </c>
      <c r="X73" s="41" t="str">
        <f t="shared" ref="X73:X104" si="49">IF(C73&gt;0.6,T73,"")</f>
        <v/>
      </c>
    </row>
    <row r="74" spans="1:24" x14ac:dyDescent="0.2">
      <c r="A74" s="53">
        <v>6.5499199999999999E-3</v>
      </c>
      <c r="B74" s="53">
        <v>7.1108400000000002E-2</v>
      </c>
      <c r="C74" s="54">
        <v>2.1191799999999999E-5</v>
      </c>
      <c r="D74" s="55">
        <f t="shared" si="37"/>
        <v>1.952413839623092E-3</v>
      </c>
      <c r="E74" s="55">
        <f t="shared" si="38"/>
        <v>1.952413839623092E-3</v>
      </c>
      <c r="F74" s="77">
        <f t="shared" si="39"/>
        <v>2.0837112251496093E-3</v>
      </c>
      <c r="G74" s="56">
        <f t="shared" si="40"/>
        <v>145366374120225.19</v>
      </c>
      <c r="H74" s="56" t="str">
        <f t="shared" ca="1" si="41"/>
        <v/>
      </c>
      <c r="I74" s="56">
        <f t="shared" si="42"/>
        <v>445150355434064.94</v>
      </c>
      <c r="J74" s="56">
        <f t="shared" si="43"/>
        <v>145366374120225.19</v>
      </c>
      <c r="K74" s="51">
        <f t="shared" si="32"/>
        <v>-3.7881443773677936E+16</v>
      </c>
      <c r="L74" s="56">
        <f t="shared" si="33"/>
        <v>3.8374032148487847E-3</v>
      </c>
      <c r="M74" s="38" t="str">
        <f t="shared" ca="1" si="35"/>
        <v/>
      </c>
      <c r="N74" s="41" t="str">
        <f t="shared" ca="1" si="18"/>
        <v/>
      </c>
      <c r="O74" s="57">
        <f t="shared" si="34"/>
        <v>260.5578135066101</v>
      </c>
      <c r="P74" s="38" t="str">
        <f t="shared" ca="1" si="36"/>
        <v/>
      </c>
      <c r="Q74" s="46" t="str">
        <f t="shared" si="44"/>
        <v/>
      </c>
      <c r="R74" s="46" t="str">
        <f t="shared" si="45"/>
        <v/>
      </c>
      <c r="S74" s="57">
        <f t="shared" ca="1" si="46"/>
        <v>250.74487022682735</v>
      </c>
      <c r="T74" s="51">
        <f t="shared" ca="1" si="47"/>
        <v>145366374120225.19</v>
      </c>
      <c r="U74" s="58">
        <f>IF(CouplingMode="AC",B74-(A$11-A$10)*SUM(B$9:B74)/0.21,B74)</f>
        <v>7.1108400000000002E-2</v>
      </c>
      <c r="V74" s="58" t="e">
        <f ca="1">IF(G74&gt;Traps,CalcImpliedV(SampleDoping,T74),0.1)</f>
        <v>#NAME?</v>
      </c>
      <c r="W74" s="37">
        <f t="shared" ca="1" si="48"/>
        <v>8.3177183285954026E-3</v>
      </c>
      <c r="X74" s="41" t="str">
        <f t="shared" si="49"/>
        <v/>
      </c>
    </row>
    <row r="75" spans="1:24" x14ac:dyDescent="0.2">
      <c r="A75" s="53">
        <v>6.6499200000000001E-3</v>
      </c>
      <c r="B75" s="53">
        <v>6.9276799999999999E-2</v>
      </c>
      <c r="C75" s="54">
        <v>1.2598E-5</v>
      </c>
      <c r="D75" s="55">
        <f t="shared" si="37"/>
        <v>1.1606616498632356E-3</v>
      </c>
      <c r="E75" s="55">
        <f t="shared" si="38"/>
        <v>1.1606616498632356E-3</v>
      </c>
      <c r="F75" s="77">
        <f t="shared" si="39"/>
        <v>2.0299058967269551E-3</v>
      </c>
      <c r="G75" s="56">
        <f t="shared" si="40"/>
        <v>141601901013340.94</v>
      </c>
      <c r="H75" s="56" t="str">
        <f t="shared" ca="1" si="41"/>
        <v/>
      </c>
      <c r="I75" s="56">
        <f t="shared" si="42"/>
        <v>264630856168817.72</v>
      </c>
      <c r="J75" s="56">
        <f t="shared" si="43"/>
        <v>141601901013340.94</v>
      </c>
      <c r="K75" s="51">
        <f t="shared" ref="K75:K106" si="50">IF(ABS(SLOPE(J73:J77,A73:A77))&lt;1000000000000,-1000000000000,(SLOPE(J73:J77,A73:A77)))</f>
        <v>-3.7663038613149376E+16</v>
      </c>
      <c r="L75" s="56">
        <f t="shared" ref="L75:L106" si="51">CalcLifetime(AnalysisMode,J75,Thickness,I75,K75)</f>
        <v>3.7597046395482061E-3</v>
      </c>
      <c r="M75" s="38" t="str">
        <f t="shared" ca="1" si="35"/>
        <v/>
      </c>
      <c r="N75" s="41" t="str">
        <f t="shared" ca="1" si="18"/>
        <v/>
      </c>
      <c r="O75" s="57">
        <f t="shared" ref="O75:O106" si="52">IF(AND(D75&gt;0.95*BiasLight,D75&lt;1.05*BiasLight),"",(1/L75)-(G75*G75)*Auger_Coefficient)</f>
        <v>265.94505546467155</v>
      </c>
      <c r="P75" s="38" t="str">
        <f t="shared" ca="1" si="36"/>
        <v/>
      </c>
      <c r="Q75" s="46" t="str">
        <f t="shared" si="44"/>
        <v/>
      </c>
      <c r="R75" s="46" t="str">
        <f t="shared" si="45"/>
        <v/>
      </c>
      <c r="S75" s="57">
        <f t="shared" ca="1" si="46"/>
        <v>248.5398473323045</v>
      </c>
      <c r="T75" s="51">
        <f t="shared" ca="1" si="47"/>
        <v>141601901013340.94</v>
      </c>
      <c r="U75" s="58">
        <f>IF(CouplingMode="AC",B75-(A$11-A$10)*SUM(B$9:B75)/0.21,B75)</f>
        <v>6.9276799999999999E-2</v>
      </c>
      <c r="V75" s="58" t="e">
        <f ca="1">IF(G75&gt;Traps,CalcImpliedV(SampleDoping,T75),0.1)</f>
        <v>#NAME?</v>
      </c>
      <c r="W75" s="37">
        <f t="shared" ca="1" si="48"/>
        <v>8.2697625902227664E-3</v>
      </c>
      <c r="X75" s="41" t="str">
        <f t="shared" si="49"/>
        <v/>
      </c>
    </row>
    <row r="76" spans="1:24" x14ac:dyDescent="0.2">
      <c r="A76" s="53">
        <v>6.7499200000000004E-3</v>
      </c>
      <c r="B76" s="53">
        <v>6.7433099999999996E-2</v>
      </c>
      <c r="C76" s="54">
        <v>9.6487999999999998E-6</v>
      </c>
      <c r="D76" s="55">
        <f t="shared" si="37"/>
        <v>8.8895000215910363E-4</v>
      </c>
      <c r="E76" s="55">
        <f t="shared" si="38"/>
        <v>8.8895000215910363E-4</v>
      </c>
      <c r="F76" s="77">
        <f t="shared" si="39"/>
        <v>1.9757522406223388E-3</v>
      </c>
      <c r="G76" s="56">
        <f t="shared" si="40"/>
        <v>137813605029549.28</v>
      </c>
      <c r="H76" s="56" t="str">
        <f t="shared" ca="1" si="41"/>
        <v/>
      </c>
      <c r="I76" s="56">
        <f t="shared" si="42"/>
        <v>202680600492275.62</v>
      </c>
      <c r="J76" s="56">
        <f t="shared" si="43"/>
        <v>137813605029549.28</v>
      </c>
      <c r="K76" s="51">
        <f t="shared" si="50"/>
        <v>-3.6909909250048488E+16</v>
      </c>
      <c r="L76" s="56">
        <f t="shared" si="51"/>
        <v>3.7337833614253125E-3</v>
      </c>
      <c r="M76" s="38" t="str">
        <f t="shared" ref="M76:M107" ca="1" si="53">IF($H76="","",L76)</f>
        <v/>
      </c>
      <c r="N76" s="41" t="str">
        <f t="shared" ca="1" si="18"/>
        <v/>
      </c>
      <c r="O76" s="57">
        <f t="shared" si="52"/>
        <v>267.79333068229562</v>
      </c>
      <c r="P76" s="38" t="str">
        <f t="shared" ref="P76:P107" ca="1" si="54">IF($H76="","",O76)</f>
        <v/>
      </c>
      <c r="Q76" s="46" t="str">
        <f t="shared" si="44"/>
        <v/>
      </c>
      <c r="R76" s="46" t="str">
        <f t="shared" si="45"/>
        <v/>
      </c>
      <c r="S76" s="57">
        <f t="shared" ca="1" si="46"/>
        <v>246.32087029665684</v>
      </c>
      <c r="T76" s="51">
        <f t="shared" ca="1" si="47"/>
        <v>137813605029549.28</v>
      </c>
      <c r="U76" s="58">
        <f>IF(CouplingMode="AC",B76-(A$11-A$10)*SUM(B$9:B76)/0.21,B76)</f>
        <v>6.7433099999999996E-2</v>
      </c>
      <c r="V76" s="58" t="e">
        <f ca="1">IF(G76&gt;Traps,CalcImpliedV(SampleDoping,T76),0.1)</f>
        <v>#NAME?</v>
      </c>
      <c r="W76" s="37">
        <f t="shared" ca="1" si="48"/>
        <v>8.104396192239266E-3</v>
      </c>
      <c r="X76" s="41" t="str">
        <f t="shared" si="49"/>
        <v/>
      </c>
    </row>
    <row r="77" spans="1:24" x14ac:dyDescent="0.2">
      <c r="A77" s="53">
        <v>6.8499199999999998E-3</v>
      </c>
      <c r="B77" s="53">
        <v>6.5584500000000004E-2</v>
      </c>
      <c r="C77" s="54">
        <v>1.6152699999999999E-5</v>
      </c>
      <c r="D77" s="55">
        <f t="shared" si="37"/>
        <v>1.4881583927405845E-3</v>
      </c>
      <c r="E77" s="55">
        <f t="shared" si="38"/>
        <v>1.4881583927405845E-3</v>
      </c>
      <c r="F77" s="77">
        <f t="shared" si="39"/>
        <v>1.9214618359078839E-3</v>
      </c>
      <c r="G77" s="56">
        <f t="shared" si="40"/>
        <v>134016296376736.59</v>
      </c>
      <c r="H77" s="56" t="str">
        <f t="shared" ca="1" si="41"/>
        <v/>
      </c>
      <c r="I77" s="56">
        <f t="shared" si="42"/>
        <v>339300113544853.25</v>
      </c>
      <c r="J77" s="56">
        <f t="shared" si="43"/>
        <v>134016296376736.59</v>
      </c>
      <c r="K77" s="51">
        <f t="shared" si="50"/>
        <v>-3.49922943915546E+16</v>
      </c>
      <c r="L77" s="56">
        <f t="shared" si="51"/>
        <v>3.8298802266901787E-3</v>
      </c>
      <c r="M77" s="38" t="str">
        <f t="shared" ca="1" si="53"/>
        <v/>
      </c>
      <c r="N77" s="41" t="str">
        <f t="shared" ref="N77:N134" ca="1" si="55">IF(M77="","",1/M77)</f>
        <v/>
      </c>
      <c r="O77" s="57">
        <f t="shared" si="52"/>
        <v>261.07495690781167</v>
      </c>
      <c r="P77" s="38" t="str">
        <f t="shared" ca="1" si="54"/>
        <v/>
      </c>
      <c r="Q77" s="46" t="str">
        <f t="shared" si="44"/>
        <v/>
      </c>
      <c r="R77" s="46" t="str">
        <f t="shared" si="45"/>
        <v/>
      </c>
      <c r="S77" s="57">
        <f t="shared" ca="1" si="46"/>
        <v>244.09661413137587</v>
      </c>
      <c r="T77" s="51">
        <f t="shared" ca="1" si="47"/>
        <v>134016296376736.59</v>
      </c>
      <c r="U77" s="58">
        <f>IF(CouplingMode="AC",B77-(A$11-A$10)*SUM(B$9:B77)/0.21,B77)</f>
        <v>6.5584500000000004E-2</v>
      </c>
      <c r="V77" s="58" t="e">
        <f ca="1">IF(G77&gt;Traps,CalcImpliedV(SampleDoping,T77),0.1)</f>
        <v>#NAME?</v>
      </c>
      <c r="W77" s="37">
        <f t="shared" ca="1" si="48"/>
        <v>7.6833409560403609E-3</v>
      </c>
      <c r="X77" s="41" t="str">
        <f t="shared" si="49"/>
        <v/>
      </c>
    </row>
    <row r="78" spans="1:24" x14ac:dyDescent="0.2">
      <c r="A78" s="53">
        <v>6.9499200000000001E-3</v>
      </c>
      <c r="B78" s="53">
        <v>6.3971700000000006E-2</v>
      </c>
      <c r="C78" s="54">
        <v>1.39261E-5</v>
      </c>
      <c r="D78" s="55">
        <f t="shared" si="37"/>
        <v>1.2830203367328469E-3</v>
      </c>
      <c r="E78" s="55">
        <f t="shared" si="38"/>
        <v>1.2830203367328469E-3</v>
      </c>
      <c r="F78" s="77">
        <f t="shared" si="39"/>
        <v>1.8741023661733025E-3</v>
      </c>
      <c r="G78" s="56">
        <f t="shared" si="40"/>
        <v>130704221813503.11</v>
      </c>
      <c r="H78" s="56" t="str">
        <f t="shared" ca="1" si="41"/>
        <v/>
      </c>
      <c r="I78" s="56">
        <f t="shared" si="42"/>
        <v>292528636775089.12</v>
      </c>
      <c r="J78" s="56">
        <f t="shared" si="43"/>
        <v>130704221813503.11</v>
      </c>
      <c r="K78" s="51">
        <f t="shared" si="50"/>
        <v>-3.3110816924185244E+16</v>
      </c>
      <c r="L78" s="56">
        <f t="shared" si="51"/>
        <v>3.9474780133869902E-3</v>
      </c>
      <c r="M78" s="38" t="str">
        <f t="shared" ca="1" si="53"/>
        <v/>
      </c>
      <c r="N78" s="41" t="str">
        <f t="shared" ca="1" si="55"/>
        <v/>
      </c>
      <c r="O78" s="57">
        <f t="shared" si="52"/>
        <v>253.29794137074234</v>
      </c>
      <c r="P78" s="38" t="str">
        <f t="shared" ca="1" si="54"/>
        <v/>
      </c>
      <c r="Q78" s="46" t="str">
        <f t="shared" si="44"/>
        <v/>
      </c>
      <c r="R78" s="46" t="str">
        <f t="shared" si="45"/>
        <v/>
      </c>
      <c r="S78" s="57">
        <f t="shared" ca="1" si="46"/>
        <v>242.15658161342782</v>
      </c>
      <c r="T78" s="51">
        <f t="shared" ca="1" si="47"/>
        <v>130704221813503.11</v>
      </c>
      <c r="U78" s="58">
        <f>IF(CouplingMode="AC",B78-(A$11-A$10)*SUM(B$9:B78)/0.21,B78)</f>
        <v>6.3971700000000006E-2</v>
      </c>
      <c r="V78" s="58" t="e">
        <f ca="1">IF(G78&gt;Traps,CalcImpliedV(SampleDoping,T78),0.1)</f>
        <v>#NAME?</v>
      </c>
      <c r="W78" s="37">
        <f t="shared" ca="1" si="48"/>
        <v>7.2702204923992281E-3</v>
      </c>
      <c r="X78" s="41" t="str">
        <f t="shared" si="49"/>
        <v/>
      </c>
    </row>
    <row r="79" spans="1:24" x14ac:dyDescent="0.2">
      <c r="A79" s="53">
        <v>7.0499200000000003E-3</v>
      </c>
      <c r="B79" s="53">
        <v>6.2489200000000002E-2</v>
      </c>
      <c r="C79" s="54">
        <v>1.17386E-5</v>
      </c>
      <c r="D79" s="55">
        <f t="shared" si="37"/>
        <v>1.0814845882746926E-3</v>
      </c>
      <c r="E79" s="55">
        <f t="shared" si="38"/>
        <v>1.0814845882746926E-3</v>
      </c>
      <c r="F79" s="77">
        <f t="shared" si="39"/>
        <v>1.8305739474780286E-3</v>
      </c>
      <c r="G79" s="56">
        <f t="shared" si="40"/>
        <v>127660445425586.72</v>
      </c>
      <c r="H79" s="56" t="str">
        <f t="shared" ca="1" si="41"/>
        <v/>
      </c>
      <c r="I79" s="56">
        <f t="shared" si="42"/>
        <v>246578486126629.91</v>
      </c>
      <c r="J79" s="56">
        <f t="shared" si="43"/>
        <v>127660445425586.72</v>
      </c>
      <c r="K79" s="51">
        <f t="shared" si="50"/>
        <v>-3.2684828726273692E+16</v>
      </c>
      <c r="L79" s="56">
        <f t="shared" si="51"/>
        <v>3.9058012662298853E-3</v>
      </c>
      <c r="M79" s="38" t="str">
        <f t="shared" ca="1" si="53"/>
        <v/>
      </c>
      <c r="N79" s="41" t="str">
        <f t="shared" ca="1" si="55"/>
        <v/>
      </c>
      <c r="O79" s="57">
        <f t="shared" si="52"/>
        <v>256.00235826075846</v>
      </c>
      <c r="P79" s="38" t="str">
        <f t="shared" ca="1" si="54"/>
        <v/>
      </c>
      <c r="Q79" s="46" t="str">
        <f t="shared" si="44"/>
        <v/>
      </c>
      <c r="R79" s="46" t="str">
        <f t="shared" si="45"/>
        <v/>
      </c>
      <c r="S79" s="57">
        <f t="shared" ca="1" si="46"/>
        <v>240.37370352382482</v>
      </c>
      <c r="T79" s="51">
        <f t="shared" ca="1" si="47"/>
        <v>127660445425586.72</v>
      </c>
      <c r="U79" s="58">
        <f>IF(CouplingMode="AC",B79-(A$11-A$10)*SUM(B$9:B79)/0.21,B79)</f>
        <v>6.2489200000000002E-2</v>
      </c>
      <c r="V79" s="58" t="e">
        <f ca="1">IF(G79&gt;Traps,CalcImpliedV(SampleDoping,T79),0.1)</f>
        <v>#NAME?</v>
      </c>
      <c r="W79" s="37">
        <f t="shared" ca="1" si="48"/>
        <v>7.176685254864373E-3</v>
      </c>
      <c r="X79" s="41" t="str">
        <f t="shared" si="49"/>
        <v/>
      </c>
    </row>
    <row r="80" spans="1:24" x14ac:dyDescent="0.2">
      <c r="A80" s="53">
        <v>7.1499199999999997E-3</v>
      </c>
      <c r="B80" s="53">
        <v>6.0918399999999998E-2</v>
      </c>
      <c r="C80" s="54">
        <v>1.1699600000000001E-5</v>
      </c>
      <c r="D80" s="55">
        <f t="shared" si="37"/>
        <v>1.0778914937878959E-3</v>
      </c>
      <c r="E80" s="55">
        <f t="shared" si="38"/>
        <v>1.0778914937878959E-3</v>
      </c>
      <c r="F80" s="77">
        <f t="shared" si="39"/>
        <v>1.7844579506439556E-3</v>
      </c>
      <c r="G80" s="56">
        <f t="shared" si="40"/>
        <v>124436122043031.61</v>
      </c>
      <c r="H80" s="56" t="str">
        <f t="shared" ca="1" si="41"/>
        <v/>
      </c>
      <c r="I80" s="56">
        <f t="shared" si="42"/>
        <v>245759260583640.25</v>
      </c>
      <c r="J80" s="56">
        <f t="shared" si="43"/>
        <v>124436122043031.61</v>
      </c>
      <c r="K80" s="51">
        <f t="shared" si="50"/>
        <v>-3.2836101403873936E+16</v>
      </c>
      <c r="L80" s="56">
        <f t="shared" si="51"/>
        <v>3.7896131612125822E-3</v>
      </c>
      <c r="M80" s="38" t="str">
        <f t="shared" ca="1" si="53"/>
        <v/>
      </c>
      <c r="N80" s="41" t="str">
        <f t="shared" ca="1" si="55"/>
        <v/>
      </c>
      <c r="O80" s="57">
        <f t="shared" si="52"/>
        <v>263.85347241970436</v>
      </c>
      <c r="P80" s="38" t="str">
        <f t="shared" ca="1" si="54"/>
        <v/>
      </c>
      <c r="Q80" s="46" t="str">
        <f t="shared" si="44"/>
        <v/>
      </c>
      <c r="R80" s="46" t="str">
        <f t="shared" si="45"/>
        <v/>
      </c>
      <c r="S80" s="57">
        <f t="shared" ca="1" si="46"/>
        <v>238.48507085837227</v>
      </c>
      <c r="T80" s="51">
        <f t="shared" ca="1" si="47"/>
        <v>124436122043031.61</v>
      </c>
      <c r="U80" s="58">
        <f>IF(CouplingMode="AC",B80-(A$11-A$10)*SUM(B$9:B80)/0.21,B80)</f>
        <v>6.0918399999999998E-2</v>
      </c>
      <c r="V80" s="58" t="e">
        <f ca="1">IF(G80&gt;Traps,CalcImpliedV(SampleDoping,T80),0.1)</f>
        <v>#NAME?</v>
      </c>
      <c r="W80" s="37">
        <f t="shared" ca="1" si="48"/>
        <v>7.2099005549624519E-3</v>
      </c>
      <c r="X80" s="41" t="str">
        <f t="shared" si="49"/>
        <v/>
      </c>
    </row>
    <row r="81" spans="1:24" x14ac:dyDescent="0.2">
      <c r="A81" s="53">
        <v>7.24992E-3</v>
      </c>
      <c r="B81" s="53">
        <v>5.9150399999999999E-2</v>
      </c>
      <c r="C81" s="54">
        <v>1.2187900000000001E-5</v>
      </c>
      <c r="D81" s="55">
        <f t="shared" si="37"/>
        <v>1.1228788793751492E-3</v>
      </c>
      <c r="E81" s="55">
        <f t="shared" si="38"/>
        <v>1.1228788793751492E-3</v>
      </c>
      <c r="F81" s="77">
        <f t="shared" si="39"/>
        <v>1.7325587052937075E-3</v>
      </c>
      <c r="G81" s="56">
        <f t="shared" si="40"/>
        <v>120807931898835.5</v>
      </c>
      <c r="H81" s="56" t="str">
        <f t="shared" ca="1" si="41"/>
        <v/>
      </c>
      <c r="I81" s="56">
        <f t="shared" si="42"/>
        <v>256016384497534</v>
      </c>
      <c r="J81" s="56">
        <f t="shared" si="43"/>
        <v>120807931898835.5</v>
      </c>
      <c r="K81" s="51">
        <f t="shared" si="50"/>
        <v>-3.3035737282751108E+16</v>
      </c>
      <c r="L81" s="56">
        <f t="shared" si="51"/>
        <v>3.6568862037146886E-3</v>
      </c>
      <c r="M81" s="38" t="str">
        <f t="shared" ca="1" si="53"/>
        <v/>
      </c>
      <c r="N81" s="41" t="str">
        <f t="shared" ca="1" si="55"/>
        <v/>
      </c>
      <c r="O81" s="57">
        <f t="shared" si="52"/>
        <v>273.43246386370743</v>
      </c>
      <c r="P81" s="38" t="str">
        <f t="shared" ca="1" si="54"/>
        <v/>
      </c>
      <c r="Q81" s="46" t="str">
        <f t="shared" si="44"/>
        <v/>
      </c>
      <c r="R81" s="46" t="str">
        <f t="shared" si="45"/>
        <v/>
      </c>
      <c r="S81" s="57">
        <f t="shared" ca="1" si="46"/>
        <v>236.35987508555507</v>
      </c>
      <c r="T81" s="51">
        <f t="shared" ca="1" si="47"/>
        <v>120807931898835.5</v>
      </c>
      <c r="U81" s="58">
        <f>IF(CouplingMode="AC",B81-(A$11-A$10)*SUM(B$9:B81)/0.21,B81)</f>
        <v>5.9150399999999999E-2</v>
      </c>
      <c r="V81" s="58" t="e">
        <f ca="1">IF(G81&gt;Traps,CalcImpliedV(SampleDoping,T81),0.1)</f>
        <v>#NAME?</v>
      </c>
      <c r="W81" s="37">
        <f t="shared" ca="1" si="48"/>
        <v>7.2537350777093302E-3</v>
      </c>
      <c r="X81" s="41" t="str">
        <f t="shared" si="49"/>
        <v/>
      </c>
    </row>
    <row r="82" spans="1:24" x14ac:dyDescent="0.2">
      <c r="A82" s="53">
        <v>7.3499200000000002E-3</v>
      </c>
      <c r="B82" s="53">
        <v>5.7641600000000001E-2</v>
      </c>
      <c r="C82" s="54">
        <v>1.44535E-5</v>
      </c>
      <c r="D82" s="55">
        <f t="shared" si="37"/>
        <v>1.3316100298696838E-3</v>
      </c>
      <c r="E82" s="55">
        <f t="shared" si="38"/>
        <v>1.3316100298696838E-3</v>
      </c>
      <c r="F82" s="77">
        <f t="shared" si="39"/>
        <v>1.6882734155907464E-3</v>
      </c>
      <c r="G82" s="56">
        <f t="shared" si="40"/>
        <v>117712427874941.75</v>
      </c>
      <c r="H82" s="56" t="str">
        <f t="shared" ca="1" si="41"/>
        <v/>
      </c>
      <c r="I82" s="56">
        <f t="shared" si="42"/>
        <v>303607086810287.87</v>
      </c>
      <c r="J82" s="56">
        <f t="shared" si="43"/>
        <v>117712427874941.75</v>
      </c>
      <c r="K82" s="51">
        <f t="shared" si="50"/>
        <v>-3.0540727501518016E+16</v>
      </c>
      <c r="L82" s="56">
        <f t="shared" si="51"/>
        <v>3.8542771408798596E-3</v>
      </c>
      <c r="M82" s="38" t="str">
        <f t="shared" ca="1" si="53"/>
        <v/>
      </c>
      <c r="N82" s="41" t="str">
        <f t="shared" ca="1" si="55"/>
        <v/>
      </c>
      <c r="O82" s="57">
        <f t="shared" si="52"/>
        <v>259.42902131772354</v>
      </c>
      <c r="P82" s="38" t="str">
        <f t="shared" ca="1" si="54"/>
        <v/>
      </c>
      <c r="Q82" s="46" t="str">
        <f t="shared" si="44"/>
        <v/>
      </c>
      <c r="R82" s="46" t="str">
        <f t="shared" si="45"/>
        <v/>
      </c>
      <c r="S82" s="57">
        <f t="shared" ca="1" si="46"/>
        <v>234.54669776990607</v>
      </c>
      <c r="T82" s="51">
        <f t="shared" ca="1" si="47"/>
        <v>117712427874941.75</v>
      </c>
      <c r="U82" s="58">
        <f>IF(CouplingMode="AC",B82-(A$11-A$10)*SUM(B$9:B82)/0.21,B82)</f>
        <v>5.7641600000000001E-2</v>
      </c>
      <c r="V82" s="58" t="e">
        <f ca="1">IF(G82&gt;Traps,CalcImpliedV(SampleDoping,T82),0.1)</f>
        <v>#NAME?</v>
      </c>
      <c r="W82" s="37">
        <f t="shared" ca="1" si="48"/>
        <v>6.705899870810288E-3</v>
      </c>
      <c r="X82" s="41" t="str">
        <f t="shared" si="49"/>
        <v/>
      </c>
    </row>
    <row r="83" spans="1:24" x14ac:dyDescent="0.2">
      <c r="A83" s="53">
        <v>7.4499199999999996E-3</v>
      </c>
      <c r="B83" s="53">
        <v>5.6077599999999998E-2</v>
      </c>
      <c r="C83" s="54">
        <v>1.4433999999999999E-5</v>
      </c>
      <c r="D83" s="55">
        <f t="shared" si="37"/>
        <v>1.3298134826262853E-3</v>
      </c>
      <c r="E83" s="55">
        <f t="shared" si="38"/>
        <v>1.3298134826262853E-3</v>
      </c>
      <c r="F83" s="77">
        <f t="shared" si="39"/>
        <v>1.6423729846068574E-3</v>
      </c>
      <c r="G83" s="56">
        <f t="shared" si="40"/>
        <v>114504423868256.11</v>
      </c>
      <c r="H83" s="56" t="str">
        <f t="shared" ca="1" si="41"/>
        <v/>
      </c>
      <c r="I83" s="56">
        <f t="shared" si="42"/>
        <v>303197474038793.06</v>
      </c>
      <c r="J83" s="56">
        <f t="shared" si="43"/>
        <v>114504423868256.11</v>
      </c>
      <c r="K83" s="51">
        <f t="shared" si="50"/>
        <v>-2.9035197583859108E+16</v>
      </c>
      <c r="L83" s="56">
        <f t="shared" si="51"/>
        <v>3.9436419723869907E-3</v>
      </c>
      <c r="M83" s="38" t="str">
        <f t="shared" ca="1" si="53"/>
        <v/>
      </c>
      <c r="N83" s="41" t="str">
        <f t="shared" ca="1" si="55"/>
        <v/>
      </c>
      <c r="O83" s="57">
        <f t="shared" si="52"/>
        <v>253.55094981486567</v>
      </c>
      <c r="P83" s="38" t="str">
        <f t="shared" ca="1" si="54"/>
        <v/>
      </c>
      <c r="Q83" s="46" t="str">
        <f t="shared" si="44"/>
        <v/>
      </c>
      <c r="R83" s="46" t="str">
        <f t="shared" si="45"/>
        <v/>
      </c>
      <c r="S83" s="57">
        <f t="shared" ca="1" si="46"/>
        <v>232.66762410418463</v>
      </c>
      <c r="T83" s="51">
        <f t="shared" ca="1" si="47"/>
        <v>114504423868256.11</v>
      </c>
      <c r="U83" s="58">
        <f>IF(CouplingMode="AC",B83-(A$11-A$10)*SUM(B$9:B83)/0.21,B83)</f>
        <v>5.6077599999999998E-2</v>
      </c>
      <c r="V83" s="58" t="e">
        <f ca="1">IF(G83&gt;Traps,CalcImpliedV(SampleDoping,T83),0.1)</f>
        <v>#NAME?</v>
      </c>
      <c r="W83" s="37">
        <f t="shared" ca="1" si="48"/>
        <v>6.3753271010611691E-3</v>
      </c>
      <c r="X83" s="41" t="str">
        <f t="shared" si="49"/>
        <v/>
      </c>
    </row>
    <row r="84" spans="1:24" x14ac:dyDescent="0.2">
      <c r="A84" s="53">
        <v>7.5499199999999999E-3</v>
      </c>
      <c r="B84" s="53">
        <v>5.5011200000000003E-2</v>
      </c>
      <c r="C84" s="54">
        <v>8.7308400000000006E-6</v>
      </c>
      <c r="D84" s="55">
        <f t="shared" si="37"/>
        <v>8.0437777100269344E-4</v>
      </c>
      <c r="E84" s="55">
        <f t="shared" si="38"/>
        <v>8.0437777100269344E-4</v>
      </c>
      <c r="F84" s="77">
        <f t="shared" si="39"/>
        <v>1.6110791178726713E-3</v>
      </c>
      <c r="G84" s="56">
        <f t="shared" si="40"/>
        <v>112317512307562.3</v>
      </c>
      <c r="H84" s="56" t="str">
        <f t="shared" ca="1" si="41"/>
        <v/>
      </c>
      <c r="I84" s="56">
        <f t="shared" si="42"/>
        <v>183398131788614.12</v>
      </c>
      <c r="J84" s="56">
        <f t="shared" si="43"/>
        <v>112317512307562.3</v>
      </c>
      <c r="K84" s="51">
        <f t="shared" si="50"/>
        <v>-2.7644160338492692E+16</v>
      </c>
      <c r="L84" s="56">
        <f t="shared" si="51"/>
        <v>4.0629742749381855E-3</v>
      </c>
      <c r="M84" s="38" t="str">
        <f t="shared" ca="1" si="53"/>
        <v/>
      </c>
      <c r="N84" s="41" t="str">
        <f t="shared" ca="1" si="55"/>
        <v/>
      </c>
      <c r="O84" s="57">
        <f t="shared" si="52"/>
        <v>246.10417110488254</v>
      </c>
      <c r="P84" s="38" t="str">
        <f t="shared" ca="1" si="54"/>
        <v/>
      </c>
      <c r="Q84" s="46" t="str">
        <f t="shared" si="44"/>
        <v/>
      </c>
      <c r="R84" s="46" t="str">
        <f t="shared" si="45"/>
        <v/>
      </c>
      <c r="S84" s="57">
        <f t="shared" ca="1" si="46"/>
        <v>231.38665066574833</v>
      </c>
      <c r="T84" s="51">
        <f t="shared" ca="1" si="47"/>
        <v>112317512307562.3</v>
      </c>
      <c r="U84" s="58">
        <f>IF(CouplingMode="AC",B84-(A$11-A$10)*SUM(B$9:B84)/0.21,B84)</f>
        <v>5.5011200000000003E-2</v>
      </c>
      <c r="V84" s="58" t="e">
        <f ca="1">IF(G84&gt;Traps,CalcImpliedV(SampleDoping,T84),0.1)</f>
        <v>#NAME?</v>
      </c>
      <c r="W84" s="37">
        <f t="shared" ca="1" si="48"/>
        <v>6.0698937585341693E-3</v>
      </c>
      <c r="X84" s="41" t="str">
        <f t="shared" si="49"/>
        <v/>
      </c>
    </row>
    <row r="85" spans="1:24" x14ac:dyDescent="0.2">
      <c r="A85" s="53">
        <v>7.6499200000000002E-3</v>
      </c>
      <c r="B85" s="53">
        <v>5.3387200000000003E-2</v>
      </c>
      <c r="C85" s="54">
        <v>3.1286699999999999E-7</v>
      </c>
      <c r="D85" s="55">
        <f t="shared" si="37"/>
        <v>2.8824633148734793E-5</v>
      </c>
      <c r="E85" s="55">
        <f t="shared" si="38"/>
        <v>2.8824633148734793E-5</v>
      </c>
      <c r="F85" s="77">
        <f t="shared" si="39"/>
        <v>1.5634268847724286E-3</v>
      </c>
      <c r="G85" s="56">
        <f t="shared" si="40"/>
        <v>108987790890595.67</v>
      </c>
      <c r="H85" s="56" t="str">
        <f t="shared" ca="1" si="41"/>
        <v/>
      </c>
      <c r="I85" s="56">
        <f t="shared" si="42"/>
        <v>6572016357911.5322</v>
      </c>
      <c r="J85" s="56">
        <f t="shared" si="43"/>
        <v>108987790890595.67</v>
      </c>
      <c r="K85" s="51">
        <f t="shared" si="50"/>
        <v>-2.7084507659109504E+16</v>
      </c>
      <c r="L85" s="56">
        <f t="shared" si="51"/>
        <v>4.0239901076414477E-3</v>
      </c>
      <c r="M85" s="38" t="str">
        <f t="shared" ca="1" si="53"/>
        <v/>
      </c>
      <c r="N85" s="41" t="str">
        <f t="shared" ca="1" si="55"/>
        <v/>
      </c>
      <c r="O85" s="57">
        <f t="shared" si="52"/>
        <v>248.48983920093832</v>
      </c>
      <c r="P85" s="38" t="str">
        <f t="shared" ca="1" si="54"/>
        <v/>
      </c>
      <c r="Q85" s="46" t="str">
        <f t="shared" si="44"/>
        <v/>
      </c>
      <c r="R85" s="46" t="str">
        <f t="shared" si="45"/>
        <v/>
      </c>
      <c r="S85" s="57">
        <f t="shared" ca="1" si="46"/>
        <v>229.43628158398559</v>
      </c>
      <c r="T85" s="51">
        <f t="shared" ca="1" si="47"/>
        <v>108987790890595.67</v>
      </c>
      <c r="U85" s="58">
        <f>IF(CouplingMode="AC",B85-(A$11-A$10)*SUM(B$9:B85)/0.21,B85)</f>
        <v>5.3387200000000003E-2</v>
      </c>
      <c r="V85" s="58" t="e">
        <f ca="1">IF(G85&gt;Traps,CalcImpliedV(SampleDoping,T85),0.1)</f>
        <v>#NAME?</v>
      </c>
      <c r="W85" s="37">
        <f t="shared" ca="1" si="48"/>
        <v>5.9470094942288155E-3</v>
      </c>
      <c r="X85" s="41" t="str">
        <f t="shared" si="49"/>
        <v/>
      </c>
    </row>
    <row r="86" spans="1:24" x14ac:dyDescent="0.2">
      <c r="A86" s="53">
        <v>7.7499200000000004E-3</v>
      </c>
      <c r="B86" s="53">
        <v>5.2246099999999997E-2</v>
      </c>
      <c r="C86" s="54">
        <v>-1.7206699999999999E-5</v>
      </c>
      <c r="D86" s="55">
        <f t="shared" si="37"/>
        <v>1.0000000000000001E-5</v>
      </c>
      <c r="E86" s="55">
        <f t="shared" si="38"/>
        <v>1.0000000000000001E-5</v>
      </c>
      <c r="F86" s="77">
        <f t="shared" si="39"/>
        <v>1.5299474658360401E-3</v>
      </c>
      <c r="G86" s="56">
        <f t="shared" si="40"/>
        <v>106648664194525.61</v>
      </c>
      <c r="H86" s="56" t="str">
        <f t="shared" ca="1" si="41"/>
        <v/>
      </c>
      <c r="I86" s="56">
        <f t="shared" si="42"/>
        <v>2280000000000</v>
      </c>
      <c r="J86" s="56">
        <f t="shared" si="43"/>
        <v>106648664194525.61</v>
      </c>
      <c r="K86" s="51">
        <f t="shared" si="50"/>
        <v>-2.7405711960067372E+16</v>
      </c>
      <c r="L86" s="56">
        <f t="shared" si="51"/>
        <v>3.8914757751932322E-3</v>
      </c>
      <c r="M86" s="38" t="str">
        <f t="shared" ca="1" si="53"/>
        <v/>
      </c>
      <c r="N86" s="41" t="str">
        <f t="shared" ca="1" si="55"/>
        <v/>
      </c>
      <c r="O86" s="57">
        <f t="shared" si="52"/>
        <v>256.95303885635332</v>
      </c>
      <c r="P86" s="38" t="str">
        <f t="shared" ca="1" si="54"/>
        <v/>
      </c>
      <c r="Q86" s="46" t="str">
        <f t="shared" si="44"/>
        <v/>
      </c>
      <c r="R86" s="46" t="str">
        <f t="shared" si="45"/>
        <v/>
      </c>
      <c r="S86" s="57">
        <f t="shared" ca="1" si="46"/>
        <v>228.06614882660404</v>
      </c>
      <c r="T86" s="51">
        <f t="shared" ca="1" si="47"/>
        <v>106648664194525.61</v>
      </c>
      <c r="U86" s="58">
        <f>IF(CouplingMode="AC",B86-(A$11-A$10)*SUM(B$9:B86)/0.21,B86)</f>
        <v>5.2246099999999997E-2</v>
      </c>
      <c r="V86" s="58" t="e">
        <f ca="1">IF(G86&gt;Traps,CalcImpliedV(SampleDoping,T86),0.1)</f>
        <v>#NAME?</v>
      </c>
      <c r="W86" s="37">
        <f t="shared" ca="1" si="48"/>
        <v>6.0175370833371617E-3</v>
      </c>
      <c r="X86" s="41" t="str">
        <f t="shared" si="49"/>
        <v/>
      </c>
    </row>
    <row r="87" spans="1:24" x14ac:dyDescent="0.2">
      <c r="A87" s="53">
        <v>7.8499199999999998E-3</v>
      </c>
      <c r="B87" s="53">
        <v>5.0854499999999997E-2</v>
      </c>
      <c r="C87" s="54">
        <v>-1.9179300000000001E-5</v>
      </c>
      <c r="D87" s="55">
        <f t="shared" si="37"/>
        <v>1.0000000000000001E-5</v>
      </c>
      <c r="E87" s="55">
        <f t="shared" si="38"/>
        <v>1.0000000000000001E-5</v>
      </c>
      <c r="F87" s="77">
        <f t="shared" si="39"/>
        <v>1.4891221819962747E-3</v>
      </c>
      <c r="G87" s="56">
        <f t="shared" si="40"/>
        <v>103796594095219.69</v>
      </c>
      <c r="H87" s="56" t="str">
        <f t="shared" ca="1" si="41"/>
        <v/>
      </c>
      <c r="I87" s="56">
        <f t="shared" si="42"/>
        <v>2280000000000</v>
      </c>
      <c r="J87" s="56">
        <f t="shared" si="43"/>
        <v>103796594095219.69</v>
      </c>
      <c r="K87" s="51">
        <f t="shared" si="50"/>
        <v>-2.5917290130443816E+16</v>
      </c>
      <c r="L87" s="56">
        <f t="shared" si="51"/>
        <v>4.0049169327812835E-3</v>
      </c>
      <c r="M87" s="38" t="str">
        <f t="shared" ca="1" si="53"/>
        <v/>
      </c>
      <c r="N87" s="41" t="str">
        <f t="shared" ca="1" si="55"/>
        <v/>
      </c>
      <c r="O87" s="57">
        <f t="shared" si="52"/>
        <v>249.67518459426481</v>
      </c>
      <c r="P87" s="38" t="str">
        <f t="shared" ca="1" si="54"/>
        <v/>
      </c>
      <c r="Q87" s="46" t="str">
        <f t="shared" si="44"/>
        <v/>
      </c>
      <c r="R87" s="46" t="str">
        <f t="shared" si="45"/>
        <v/>
      </c>
      <c r="S87" s="57">
        <f t="shared" ca="1" si="46"/>
        <v>226.39556181822488</v>
      </c>
      <c r="T87" s="51">
        <f t="shared" ca="1" si="47"/>
        <v>103796594095219.69</v>
      </c>
      <c r="U87" s="58">
        <f>IF(CouplingMode="AC",B87-(A$11-A$10)*SUM(B$9:B87)/0.21,B87)</f>
        <v>5.0854499999999997E-2</v>
      </c>
      <c r="V87" s="58" t="e">
        <f ca="1">IF(G87&gt;Traps,CalcImpliedV(SampleDoping,T87),0.1)</f>
        <v>#NAME?</v>
      </c>
      <c r="W87" s="37">
        <f t="shared" ca="1" si="48"/>
        <v>5.6907207769971218E-3</v>
      </c>
      <c r="X87" s="41" t="str">
        <f t="shared" si="49"/>
        <v/>
      </c>
    </row>
    <row r="88" spans="1:24" x14ac:dyDescent="0.2">
      <c r="A88" s="53">
        <v>7.9499199999999992E-3</v>
      </c>
      <c r="B88" s="53">
        <v>4.9592299999999999E-2</v>
      </c>
      <c r="C88" s="54">
        <v>-1.4296499999999999E-5</v>
      </c>
      <c r="D88" s="55">
        <f t="shared" si="37"/>
        <v>1.0000000000000001E-5</v>
      </c>
      <c r="E88" s="55">
        <f t="shared" si="38"/>
        <v>1.0000000000000001E-5</v>
      </c>
      <c r="F88" s="77">
        <f t="shared" si="39"/>
        <v>1.4520966193733442E-3</v>
      </c>
      <c r="G88" s="56">
        <f t="shared" si="40"/>
        <v>101210254725216.62</v>
      </c>
      <c r="H88" s="56" t="str">
        <f t="shared" ca="1" si="41"/>
        <v/>
      </c>
      <c r="I88" s="56">
        <f t="shared" si="42"/>
        <v>2280000000000</v>
      </c>
      <c r="J88" s="56">
        <f t="shared" si="43"/>
        <v>101210254725216.62</v>
      </c>
      <c r="K88" s="51">
        <f t="shared" si="50"/>
        <v>-2.6181797651419064E+16</v>
      </c>
      <c r="L88" s="56">
        <f t="shared" si="51"/>
        <v>3.8656724825665663E-3</v>
      </c>
      <c r="M88" s="38" t="str">
        <f t="shared" ca="1" si="53"/>
        <v/>
      </c>
      <c r="N88" s="41" t="str">
        <f t="shared" ca="1" si="55"/>
        <v/>
      </c>
      <c r="O88" s="57">
        <f t="shared" si="52"/>
        <v>258.67019818733337</v>
      </c>
      <c r="P88" s="38" t="str">
        <f t="shared" ca="1" si="54"/>
        <v/>
      </c>
      <c r="Q88" s="46" t="str">
        <f t="shared" si="44"/>
        <v/>
      </c>
      <c r="R88" s="46" t="str">
        <f t="shared" si="45"/>
        <v/>
      </c>
      <c r="S88" s="57">
        <f t="shared" ca="1" si="46"/>
        <v>224.88062536843773</v>
      </c>
      <c r="T88" s="51">
        <f t="shared" ca="1" si="47"/>
        <v>101210254725216.62</v>
      </c>
      <c r="U88" s="58">
        <f>IF(CouplingMode="AC",B88-(A$11-A$10)*SUM(B$9:B88)/0.21,B88)</f>
        <v>4.9592299999999999E-2</v>
      </c>
      <c r="V88" s="58" t="e">
        <f ca="1">IF(G88&gt;Traps,CalcImpliedV(SampleDoping,T88),0.1)</f>
        <v>#NAME?</v>
      </c>
      <c r="W88" s="37">
        <f t="shared" ca="1" si="48"/>
        <v>5.7487993198428369E-3</v>
      </c>
      <c r="X88" s="41" t="str">
        <f t="shared" si="49"/>
        <v/>
      </c>
    </row>
    <row r="89" spans="1:24" x14ac:dyDescent="0.2">
      <c r="A89" s="53">
        <v>8.0499200000000003E-3</v>
      </c>
      <c r="B89" s="53">
        <v>4.8390599999999999E-2</v>
      </c>
      <c r="C89" s="54">
        <v>-1.8964500000000001E-5</v>
      </c>
      <c r="D89" s="55">
        <f t="shared" si="37"/>
        <v>1.0000000000000001E-5</v>
      </c>
      <c r="E89" s="55">
        <f t="shared" si="38"/>
        <v>1.0000000000000001E-5</v>
      </c>
      <c r="F89" s="77">
        <f t="shared" si="39"/>
        <v>1.4168488854188893E-3</v>
      </c>
      <c r="G89" s="56">
        <f t="shared" si="40"/>
        <v>98748350560028.266</v>
      </c>
      <c r="H89" s="56" t="str">
        <f t="shared" ca="1" si="41"/>
        <v/>
      </c>
      <c r="I89" s="56">
        <f t="shared" si="42"/>
        <v>2280000000000</v>
      </c>
      <c r="J89" s="56">
        <f t="shared" si="43"/>
        <v>98748350560028.266</v>
      </c>
      <c r="K89" s="51">
        <f t="shared" si="50"/>
        <v>-2.552351108155504E+16</v>
      </c>
      <c r="L89" s="56">
        <f t="shared" si="51"/>
        <v>3.8689171816721677E-3</v>
      </c>
      <c r="M89" s="38" t="str">
        <f t="shared" ca="1" si="53"/>
        <v/>
      </c>
      <c r="N89" s="41" t="str">
        <f t="shared" ca="1" si="55"/>
        <v/>
      </c>
      <c r="O89" s="57">
        <f t="shared" si="52"/>
        <v>258.45406522772987</v>
      </c>
      <c r="P89" s="38" t="str">
        <f t="shared" ca="1" si="54"/>
        <v/>
      </c>
      <c r="Q89" s="46" t="str">
        <f t="shared" si="44"/>
        <v/>
      </c>
      <c r="R89" s="46" t="str">
        <f t="shared" si="45"/>
        <v/>
      </c>
      <c r="S89" s="57">
        <f t="shared" ca="1" si="46"/>
        <v>223.43857627040219</v>
      </c>
      <c r="T89" s="51">
        <f t="shared" ca="1" si="47"/>
        <v>98748350560028.266</v>
      </c>
      <c r="U89" s="58">
        <f>IF(CouplingMode="AC",B89-(A$11-A$10)*SUM(B$9:B89)/0.21,B89)</f>
        <v>4.8390599999999999E-2</v>
      </c>
      <c r="V89" s="58" t="e">
        <f ca="1">IF(G89&gt;Traps,CalcImpliedV(SampleDoping,T89),0.1)</f>
        <v>#NAME?</v>
      </c>
      <c r="W89" s="37">
        <f t="shared" ca="1" si="48"/>
        <v>5.6042577785980225E-3</v>
      </c>
      <c r="X89" s="41" t="str">
        <f t="shared" si="49"/>
        <v/>
      </c>
    </row>
    <row r="90" spans="1:24" x14ac:dyDescent="0.2">
      <c r="A90" s="53">
        <v>8.1499199999999997E-3</v>
      </c>
      <c r="B90" s="53">
        <v>4.70888E-2</v>
      </c>
      <c r="C90" s="54">
        <v>-2.6171499999999998E-5</v>
      </c>
      <c r="D90" s="55">
        <f t="shared" si="37"/>
        <v>1.0000000000000001E-5</v>
      </c>
      <c r="E90" s="55">
        <f t="shared" si="38"/>
        <v>1.0000000000000001E-5</v>
      </c>
      <c r="F90" s="77">
        <f t="shared" si="39"/>
        <v>1.378668488590612E-3</v>
      </c>
      <c r="G90" s="56">
        <f t="shared" si="40"/>
        <v>96081887136411.797</v>
      </c>
      <c r="H90" s="56" t="str">
        <f t="shared" ca="1" si="41"/>
        <v/>
      </c>
      <c r="I90" s="56">
        <f t="shared" si="42"/>
        <v>2280000000000</v>
      </c>
      <c r="J90" s="56">
        <f t="shared" si="43"/>
        <v>96081887136411.797</v>
      </c>
      <c r="K90" s="51">
        <f t="shared" si="50"/>
        <v>-2.4360823073537216E+16</v>
      </c>
      <c r="L90" s="56">
        <f t="shared" si="51"/>
        <v>3.9441149770010871E-3</v>
      </c>
      <c r="M90" s="38" t="str">
        <f t="shared" ca="1" si="53"/>
        <v/>
      </c>
      <c r="N90" s="41" t="str">
        <f t="shared" ca="1" si="55"/>
        <v/>
      </c>
      <c r="O90" s="57">
        <f t="shared" si="52"/>
        <v>253.52697970763896</v>
      </c>
      <c r="P90" s="38" t="str">
        <f t="shared" ca="1" si="54"/>
        <v/>
      </c>
      <c r="Q90" s="46" t="str">
        <f t="shared" si="44"/>
        <v/>
      </c>
      <c r="R90" s="46" t="str">
        <f t="shared" si="45"/>
        <v/>
      </c>
      <c r="S90" s="57">
        <f t="shared" ca="1" si="46"/>
        <v>221.87670752289284</v>
      </c>
      <c r="T90" s="51">
        <f t="shared" ca="1" si="47"/>
        <v>96081887136411.797</v>
      </c>
      <c r="U90" s="58">
        <f>IF(CouplingMode="AC",B90-(A$11-A$10)*SUM(B$9:B90)/0.21,B90)</f>
        <v>4.70888E-2</v>
      </c>
      <c r="V90" s="58" t="e">
        <f ca="1">IF(G90&gt;Traps,CalcImpliedV(SampleDoping,T90),0.1)</f>
        <v>#NAME?</v>
      </c>
      <c r="W90" s="37">
        <f t="shared" ca="1" si="48"/>
        <v>5.3489636189427937E-3</v>
      </c>
      <c r="X90" s="41" t="str">
        <f t="shared" si="49"/>
        <v/>
      </c>
    </row>
    <row r="91" spans="1:24" x14ac:dyDescent="0.2">
      <c r="A91" s="53">
        <v>8.2499200000000009E-3</v>
      </c>
      <c r="B91" s="53">
        <v>4.5876399999999998E-2</v>
      </c>
      <c r="C91" s="54">
        <v>-1.6484E-5</v>
      </c>
      <c r="D91" s="55">
        <f t="shared" si="37"/>
        <v>1.0000000000000001E-5</v>
      </c>
      <c r="E91" s="55">
        <f t="shared" si="38"/>
        <v>1.0000000000000001E-5</v>
      </c>
      <c r="F91" s="77">
        <f t="shared" si="39"/>
        <v>1.343113302304022E-3</v>
      </c>
      <c r="G91" s="56">
        <f t="shared" si="40"/>
        <v>93599022348844.547</v>
      </c>
      <c r="H91" s="56" t="str">
        <f t="shared" ca="1" si="41"/>
        <v/>
      </c>
      <c r="I91" s="56">
        <f t="shared" si="42"/>
        <v>2280000000000</v>
      </c>
      <c r="J91" s="56">
        <f t="shared" si="43"/>
        <v>93599022348844.547</v>
      </c>
      <c r="K91" s="51">
        <f t="shared" si="50"/>
        <v>-2.3221454301164316E+16</v>
      </c>
      <c r="L91" s="56">
        <f t="shared" si="51"/>
        <v>4.0307131988779671E-3</v>
      </c>
      <c r="M91" s="38" t="str">
        <f t="shared" ca="1" si="53"/>
        <v/>
      </c>
      <c r="N91" s="41" t="str">
        <f t="shared" ca="1" si="55"/>
        <v/>
      </c>
      <c r="O91" s="57">
        <f t="shared" si="52"/>
        <v>248.08050894330805</v>
      </c>
      <c r="P91" s="38" t="str">
        <f t="shared" ca="1" si="54"/>
        <v/>
      </c>
      <c r="Q91" s="46" t="str">
        <f t="shared" si="44"/>
        <v/>
      </c>
      <c r="R91" s="46" t="str">
        <f t="shared" si="45"/>
        <v/>
      </c>
      <c r="S91" s="57">
        <f t="shared" ca="1" si="46"/>
        <v>220.42238083622362</v>
      </c>
      <c r="T91" s="51">
        <f t="shared" ca="1" si="47"/>
        <v>93599022348844.547</v>
      </c>
      <c r="U91" s="58">
        <f>IF(CouplingMode="AC",B91-(A$11-A$10)*SUM(B$9:B91)/0.21,B91)</f>
        <v>4.5876399999999998E-2</v>
      </c>
      <c r="V91" s="58" t="e">
        <f ca="1">IF(G91&gt;Traps,CalcImpliedV(SampleDoping,T91),0.1)</f>
        <v>#NAME?</v>
      </c>
      <c r="W91" s="37">
        <f t="shared" ca="1" si="48"/>
        <v>5.0987897190878893E-3</v>
      </c>
      <c r="X91" s="41" t="str">
        <f t="shared" si="49"/>
        <v/>
      </c>
    </row>
    <row r="92" spans="1:24" x14ac:dyDescent="0.2">
      <c r="A92" s="53">
        <v>8.3499200000000003E-3</v>
      </c>
      <c r="B92" s="53">
        <v>4.4902299999999999E-2</v>
      </c>
      <c r="C92" s="54">
        <v>1.0312900000000001E-5</v>
      </c>
      <c r="D92" s="55">
        <f t="shared" si="37"/>
        <v>9.5013395212530268E-4</v>
      </c>
      <c r="E92" s="55">
        <f t="shared" si="38"/>
        <v>9.5013395212530268E-4</v>
      </c>
      <c r="F92" s="77">
        <f t="shared" si="39"/>
        <v>1.3145488084723989E-3</v>
      </c>
      <c r="G92" s="56">
        <f t="shared" si="40"/>
        <v>91604507294039.844</v>
      </c>
      <c r="H92" s="56" t="str">
        <f t="shared" ca="1" si="41"/>
        <v/>
      </c>
      <c r="I92" s="56">
        <f t="shared" si="42"/>
        <v>216630541084569</v>
      </c>
      <c r="J92" s="56">
        <f t="shared" si="43"/>
        <v>91604507294039.844</v>
      </c>
      <c r="K92" s="51">
        <f t="shared" si="50"/>
        <v>-2.1483662160454592E+16</v>
      </c>
      <c r="L92" s="56">
        <f t="shared" si="51"/>
        <v>4.2639149047250472E-3</v>
      </c>
      <c r="M92" s="38" t="str">
        <f t="shared" ca="1" si="53"/>
        <v/>
      </c>
      <c r="N92" s="41" t="str">
        <f t="shared" ca="1" si="55"/>
        <v/>
      </c>
      <c r="O92" s="57">
        <f t="shared" si="52"/>
        <v>234.51232664961304</v>
      </c>
      <c r="P92" s="38" t="str">
        <f t="shared" ca="1" si="54"/>
        <v/>
      </c>
      <c r="Q92" s="46" t="str">
        <f t="shared" si="44"/>
        <v/>
      </c>
      <c r="R92" s="46" t="str">
        <f t="shared" si="45"/>
        <v/>
      </c>
      <c r="S92" s="57">
        <f t="shared" ca="1" si="46"/>
        <v>219.2541027706234</v>
      </c>
      <c r="T92" s="51">
        <f t="shared" ca="1" si="47"/>
        <v>91604507294039.844</v>
      </c>
      <c r="U92" s="58">
        <f>IF(CouplingMode="AC",B92-(A$11-A$10)*SUM(B$9:B92)/0.21,B92)</f>
        <v>4.4902299999999999E-2</v>
      </c>
      <c r="V92" s="58" t="e">
        <f ca="1">IF(G92&gt;Traps,CalcImpliedV(SampleDoping,T92),0.1)</f>
        <v>#NAME?</v>
      </c>
      <c r="W92" s="37">
        <f t="shared" ca="1" si="48"/>
        <v>4.7172185829287639E-3</v>
      </c>
      <c r="X92" s="41" t="str">
        <f t="shared" si="49"/>
        <v/>
      </c>
    </row>
    <row r="93" spans="1:24" x14ac:dyDescent="0.2">
      <c r="A93" s="53">
        <v>8.4499199999999997E-3</v>
      </c>
      <c r="B93" s="53">
        <v>4.3813900000000003E-2</v>
      </c>
      <c r="C93" s="54">
        <v>1.8516E-5</v>
      </c>
      <c r="D93" s="55">
        <f t="shared" si="37"/>
        <v>1.7058907055776844E-3</v>
      </c>
      <c r="E93" s="55">
        <f t="shared" si="38"/>
        <v>1.7058907055776844E-3</v>
      </c>
      <c r="F93" s="77">
        <f t="shared" si="39"/>
        <v>1.282634943062369E-3</v>
      </c>
      <c r="G93" s="56">
        <f t="shared" si="40"/>
        <v>89376313330632.094</v>
      </c>
      <c r="H93" s="56" t="str">
        <f t="shared" ca="1" si="41"/>
        <v/>
      </c>
      <c r="I93" s="56">
        <f t="shared" si="42"/>
        <v>388943080871712.06</v>
      </c>
      <c r="J93" s="56">
        <f t="shared" si="43"/>
        <v>89376313330632.094</v>
      </c>
      <c r="K93" s="51">
        <f t="shared" si="50"/>
        <v>-2.1730448874414016E+16</v>
      </c>
      <c r="L93" s="56">
        <f t="shared" si="51"/>
        <v>4.1129529282695138E-3</v>
      </c>
      <c r="M93" s="38" t="str">
        <f t="shared" ca="1" si="53"/>
        <v/>
      </c>
      <c r="N93" s="41" t="str">
        <f t="shared" ca="1" si="55"/>
        <v/>
      </c>
      <c r="O93" s="57">
        <f t="shared" si="52"/>
        <v>243.12105645220433</v>
      </c>
      <c r="P93" s="38" t="str">
        <f t="shared" ca="1" si="54"/>
        <v/>
      </c>
      <c r="Q93" s="46" t="str">
        <f t="shared" si="44"/>
        <v/>
      </c>
      <c r="R93" s="46" t="str">
        <f t="shared" si="45"/>
        <v/>
      </c>
      <c r="S93" s="57">
        <f t="shared" ca="1" si="46"/>
        <v>217.9489483537233</v>
      </c>
      <c r="T93" s="51">
        <f t="shared" ca="1" si="47"/>
        <v>89376313330632.094</v>
      </c>
      <c r="U93" s="58">
        <f>IF(CouplingMode="AC",B93-(A$11-A$10)*SUM(B$9:B93)/0.21,B93)</f>
        <v>4.3813900000000003E-2</v>
      </c>
      <c r="V93" s="58" t="e">
        <f ca="1">IF(G93&gt;Traps,CalcImpliedV(SampleDoping,T93),0.1)</f>
        <v>#NAME?</v>
      </c>
      <c r="W93" s="37">
        <f t="shared" ca="1" si="48"/>
        <v>4.7714061262076829E-3</v>
      </c>
      <c r="X93" s="41" t="str">
        <f t="shared" si="49"/>
        <v/>
      </c>
    </row>
    <row r="94" spans="1:24" x14ac:dyDescent="0.2">
      <c r="A94" s="53">
        <v>8.5499200000000008E-3</v>
      </c>
      <c r="B94" s="53">
        <v>4.2873500000000002E-2</v>
      </c>
      <c r="C94" s="54">
        <v>1.7148800000000001E-5</v>
      </c>
      <c r="D94" s="55">
        <f t="shared" si="37"/>
        <v>1.5799297111584898E-3</v>
      </c>
      <c r="E94" s="55">
        <f t="shared" si="38"/>
        <v>1.5799297111584898E-3</v>
      </c>
      <c r="F94" s="77">
        <f t="shared" si="39"/>
        <v>1.2550627122357993E-3</v>
      </c>
      <c r="G94" s="56">
        <f t="shared" si="40"/>
        <v>87451410565290.719</v>
      </c>
      <c r="H94" s="56" t="str">
        <f t="shared" ca="1" si="41"/>
        <v/>
      </c>
      <c r="I94" s="56">
        <f t="shared" si="42"/>
        <v>360223974144135.69</v>
      </c>
      <c r="J94" s="56">
        <f t="shared" si="43"/>
        <v>87451410565290.719</v>
      </c>
      <c r="K94" s="51">
        <f t="shared" si="50"/>
        <v>-2.105583657079244E+16</v>
      </c>
      <c r="L94" s="56">
        <f t="shared" si="51"/>
        <v>4.1533097139725503E-3</v>
      </c>
      <c r="M94" s="38" t="str">
        <f t="shared" ca="1" si="53"/>
        <v/>
      </c>
      <c r="N94" s="41" t="str">
        <f t="shared" ca="1" si="55"/>
        <v/>
      </c>
      <c r="O94" s="57">
        <f t="shared" si="52"/>
        <v>240.75913945785996</v>
      </c>
      <c r="P94" s="38" t="str">
        <f t="shared" ca="1" si="54"/>
        <v/>
      </c>
      <c r="Q94" s="46" t="str">
        <f t="shared" si="44"/>
        <v/>
      </c>
      <c r="R94" s="46" t="str">
        <f t="shared" si="45"/>
        <v/>
      </c>
      <c r="S94" s="57">
        <f t="shared" ca="1" si="46"/>
        <v>216.82144536810068</v>
      </c>
      <c r="T94" s="51">
        <f t="shared" ca="1" si="47"/>
        <v>87451410565290.719</v>
      </c>
      <c r="U94" s="58">
        <f>IF(CouplingMode="AC",B94-(A$11-A$10)*SUM(B$9:B94)/0.21,B94)</f>
        <v>4.2873500000000002E-2</v>
      </c>
      <c r="V94" s="58" t="e">
        <f ca="1">IF(G94&gt;Traps,CalcImpliedV(SampleDoping,T94),0.1)</f>
        <v>#NAME?</v>
      </c>
      <c r="W94" s="37">
        <f t="shared" ca="1" si="48"/>
        <v>4.6232799049355112E-3</v>
      </c>
      <c r="X94" s="41" t="str">
        <f t="shared" si="49"/>
        <v/>
      </c>
    </row>
    <row r="95" spans="1:24" x14ac:dyDescent="0.2">
      <c r="A95" s="53">
        <v>8.6499200000000002E-3</v>
      </c>
      <c r="B95" s="53">
        <v>4.1583000000000002E-2</v>
      </c>
      <c r="C95" s="54">
        <v>2.0918299999999999E-5</v>
      </c>
      <c r="D95" s="55">
        <f t="shared" si="37"/>
        <v>1.9272161129015811E-3</v>
      </c>
      <c r="E95" s="55">
        <f t="shared" si="38"/>
        <v>1.9272161129015811E-3</v>
      </c>
      <c r="F95" s="77">
        <f t="shared" si="39"/>
        <v>1.2172286866185683E-3</v>
      </c>
      <c r="G95" s="56">
        <f t="shared" si="40"/>
        <v>84810346276012.109</v>
      </c>
      <c r="H95" s="56" t="str">
        <f t="shared" ca="1" si="41"/>
        <v/>
      </c>
      <c r="I95" s="56">
        <f t="shared" si="42"/>
        <v>439405273741560.44</v>
      </c>
      <c r="J95" s="56">
        <f t="shared" si="43"/>
        <v>84810346276012.109</v>
      </c>
      <c r="K95" s="51">
        <f t="shared" si="50"/>
        <v>-2.1078081452367572E+16</v>
      </c>
      <c r="L95" s="56">
        <f t="shared" si="51"/>
        <v>4.0236274097178743E-3</v>
      </c>
      <c r="M95" s="38" t="str">
        <f t="shared" ca="1" si="53"/>
        <v/>
      </c>
      <c r="N95" s="41" t="str">
        <f t="shared" ca="1" si="55"/>
        <v/>
      </c>
      <c r="O95" s="57">
        <f t="shared" si="52"/>
        <v>248.52001835831086</v>
      </c>
      <c r="P95" s="38" t="str">
        <f t="shared" ca="1" si="54"/>
        <v/>
      </c>
      <c r="Q95" s="46" t="str">
        <f t="shared" si="44"/>
        <v/>
      </c>
      <c r="R95" s="46" t="str">
        <f t="shared" si="45"/>
        <v/>
      </c>
      <c r="S95" s="57">
        <f t="shared" ca="1" si="46"/>
        <v>215.27445404729244</v>
      </c>
      <c r="T95" s="51">
        <f t="shared" ca="1" si="47"/>
        <v>84810346276012.109</v>
      </c>
      <c r="U95" s="58">
        <f>IF(CouplingMode="AC",B95-(A$11-A$10)*SUM(B$9:B95)/0.21,B95)</f>
        <v>4.1583000000000002E-2</v>
      </c>
      <c r="V95" s="58" t="e">
        <f ca="1">IF(G95&gt;Traps,CalcImpliedV(SampleDoping,T95),0.1)</f>
        <v>#NAME?</v>
      </c>
      <c r="W95" s="37">
        <f t="shared" ca="1" si="48"/>
        <v>4.6281642662682086E-3</v>
      </c>
      <c r="X95" s="41" t="str">
        <f t="shared" si="49"/>
        <v/>
      </c>
    </row>
    <row r="96" spans="1:24" x14ac:dyDescent="0.2">
      <c r="A96" s="53">
        <v>8.7499199999999996E-3</v>
      </c>
      <c r="B96" s="53">
        <v>4.0874000000000001E-2</v>
      </c>
      <c r="C96" s="54">
        <v>1.7285499999999999E-5</v>
      </c>
      <c r="D96" s="55">
        <f t="shared" si="37"/>
        <v>1.5925239679878518E-3</v>
      </c>
      <c r="E96" s="55">
        <f t="shared" si="38"/>
        <v>1.5925239679878518E-3</v>
      </c>
      <c r="F96" s="77">
        <f t="shared" si="39"/>
        <v>1.1964441837915979E-3</v>
      </c>
      <c r="G96" s="56">
        <f t="shared" si="40"/>
        <v>83359572535953.625</v>
      </c>
      <c r="H96" s="56" t="str">
        <f t="shared" ca="1" si="41"/>
        <v/>
      </c>
      <c r="I96" s="56">
        <f t="shared" si="42"/>
        <v>363095464701230.19</v>
      </c>
      <c r="J96" s="56">
        <f t="shared" si="43"/>
        <v>83359572535953.625</v>
      </c>
      <c r="K96" s="51">
        <f t="shared" si="50"/>
        <v>-2.0927275809476908E+16</v>
      </c>
      <c r="L96" s="56">
        <f t="shared" si="51"/>
        <v>3.9832978403335365E-3</v>
      </c>
      <c r="M96" s="38" t="str">
        <f t="shared" ca="1" si="53"/>
        <v/>
      </c>
      <c r="N96" s="41" t="str">
        <f t="shared" ca="1" si="55"/>
        <v/>
      </c>
      <c r="O96" s="57">
        <f t="shared" si="52"/>
        <v>251.03672700070808</v>
      </c>
      <c r="P96" s="38" t="str">
        <f t="shared" ca="1" si="54"/>
        <v/>
      </c>
      <c r="Q96" s="46" t="str">
        <f t="shared" si="44"/>
        <v/>
      </c>
      <c r="R96" s="46" t="str">
        <f t="shared" si="45"/>
        <v/>
      </c>
      <c r="S96" s="57">
        <f t="shared" ca="1" si="46"/>
        <v>214.42466996841264</v>
      </c>
      <c r="T96" s="51">
        <f t="shared" ca="1" si="47"/>
        <v>83359572535953.625</v>
      </c>
      <c r="U96" s="58">
        <f>IF(CouplingMode="AC",B96-(A$11-A$10)*SUM(B$9:B96)/0.21,B96)</f>
        <v>4.0874000000000001E-2</v>
      </c>
      <c r="V96" s="58" t="e">
        <f ca="1">IF(G96&gt;Traps,CalcImpliedV(SampleDoping,T96),0.1)</f>
        <v>#NAME?</v>
      </c>
      <c r="W96" s="37">
        <f t="shared" ca="1" si="48"/>
        <v>4.5950515140874455E-3</v>
      </c>
      <c r="X96" s="41" t="str">
        <f t="shared" si="49"/>
        <v/>
      </c>
    </row>
    <row r="97" spans="1:24" x14ac:dyDescent="0.2">
      <c r="A97" s="53">
        <v>8.8499200000000007E-3</v>
      </c>
      <c r="B97" s="53">
        <v>3.96636E-2</v>
      </c>
      <c r="C97" s="54">
        <v>7.9886500000000002E-6</v>
      </c>
      <c r="D97" s="55">
        <f t="shared" si="37"/>
        <v>7.3599934030639286E-4</v>
      </c>
      <c r="E97" s="55">
        <f t="shared" si="38"/>
        <v>7.3599934030639286E-4</v>
      </c>
      <c r="F97" s="77">
        <f t="shared" si="39"/>
        <v>1.1609634636276511E-3</v>
      </c>
      <c r="G97" s="56">
        <f t="shared" si="40"/>
        <v>80883191619116.844</v>
      </c>
      <c r="H97" s="56" t="str">
        <f t="shared" ca="1" si="41"/>
        <v/>
      </c>
      <c r="I97" s="56">
        <f t="shared" si="42"/>
        <v>167807849589857.56</v>
      </c>
      <c r="J97" s="56">
        <f t="shared" si="43"/>
        <v>80883191619116.844</v>
      </c>
      <c r="K97" s="51">
        <f t="shared" si="50"/>
        <v>-1.9661288513225892E+16</v>
      </c>
      <c r="L97" s="56">
        <f t="shared" si="51"/>
        <v>4.1138296487896906E-3</v>
      </c>
      <c r="M97" s="38" t="str">
        <f t="shared" ca="1" si="53"/>
        <v/>
      </c>
      <c r="N97" s="41" t="str">
        <f t="shared" ca="1" si="55"/>
        <v/>
      </c>
      <c r="O97" s="57">
        <f t="shared" si="52"/>
        <v>243.0716411985567</v>
      </c>
      <c r="P97" s="38" t="str">
        <f t="shared" ca="1" si="54"/>
        <v/>
      </c>
      <c r="Q97" s="46" t="str">
        <f t="shared" si="44"/>
        <v/>
      </c>
      <c r="R97" s="46" t="str">
        <f t="shared" si="45"/>
        <v/>
      </c>
      <c r="S97" s="57">
        <f t="shared" ca="1" si="46"/>
        <v>212.97414117935085</v>
      </c>
      <c r="T97" s="51">
        <f t="shared" ca="1" si="47"/>
        <v>80883191619116.844</v>
      </c>
      <c r="U97" s="58">
        <f>IF(CouplingMode="AC",B97-(A$11-A$10)*SUM(B$9:B97)/0.21,B97)</f>
        <v>3.96636E-2</v>
      </c>
      <c r="V97" s="58" t="e">
        <f ca="1">IF(G97&gt;Traps,CalcImpliedV(SampleDoping,T97),0.1)</f>
        <v>#NAME?</v>
      </c>
      <c r="W97" s="37">
        <f t="shared" ca="1" si="48"/>
        <v>4.3170756850586453E-3</v>
      </c>
      <c r="X97" s="41" t="str">
        <f t="shared" si="49"/>
        <v/>
      </c>
    </row>
    <row r="98" spans="1:24" x14ac:dyDescent="0.2">
      <c r="A98" s="53">
        <v>8.9499200000000001E-3</v>
      </c>
      <c r="B98" s="53">
        <v>3.8719200000000002E-2</v>
      </c>
      <c r="C98" s="54">
        <v>1.6601900000000001E-5</v>
      </c>
      <c r="D98" s="55">
        <f t="shared" si="37"/>
        <v>1.5295434707782547E-3</v>
      </c>
      <c r="E98" s="55">
        <f t="shared" si="38"/>
        <v>1.5295434707782547E-3</v>
      </c>
      <c r="F98" s="77">
        <f t="shared" si="39"/>
        <v>1.133282199015373E-3</v>
      </c>
      <c r="G98" s="56">
        <f t="shared" si="40"/>
        <v>78951349988999.906</v>
      </c>
      <c r="H98" s="56" t="str">
        <f t="shared" ca="1" si="41"/>
        <v/>
      </c>
      <c r="I98" s="56">
        <f t="shared" si="42"/>
        <v>348735911337442.06</v>
      </c>
      <c r="J98" s="56">
        <f t="shared" si="43"/>
        <v>78951349988999.906</v>
      </c>
      <c r="K98" s="51">
        <f t="shared" si="50"/>
        <v>-2.0185041651460576E+16</v>
      </c>
      <c r="L98" s="56">
        <f t="shared" si="51"/>
        <v>3.9113790970694891E-3</v>
      </c>
      <c r="M98" s="38" t="str">
        <f t="shared" ca="1" si="53"/>
        <v/>
      </c>
      <c r="N98" s="41" t="str">
        <f t="shared" ca="1" si="55"/>
        <v/>
      </c>
      <c r="O98" s="57">
        <f t="shared" si="52"/>
        <v>255.65395298057513</v>
      </c>
      <c r="P98" s="38" t="str">
        <f t="shared" ca="1" si="54"/>
        <v/>
      </c>
      <c r="Q98" s="46" t="str">
        <f t="shared" si="44"/>
        <v/>
      </c>
      <c r="R98" s="46" t="str">
        <f t="shared" si="45"/>
        <v/>
      </c>
      <c r="S98" s="57">
        <f t="shared" ca="1" si="46"/>
        <v>211.84257378544115</v>
      </c>
      <c r="T98" s="51">
        <f t="shared" ca="1" si="47"/>
        <v>78951349988999.906</v>
      </c>
      <c r="U98" s="58">
        <f>IF(CouplingMode="AC",B98-(A$11-A$10)*SUM(B$9:B98)/0.21,B98)</f>
        <v>3.8719200000000002E-2</v>
      </c>
      <c r="V98" s="58" t="e">
        <f ca="1">IF(G98&gt;Traps,CalcImpliedV(SampleDoping,T98),0.1)</f>
        <v>#NAME?</v>
      </c>
      <c r="W98" s="37">
        <f t="shared" ca="1" si="48"/>
        <v>4.432077402088795E-3</v>
      </c>
      <c r="X98" s="41" t="str">
        <f t="shared" si="49"/>
        <v/>
      </c>
    </row>
    <row r="99" spans="1:24" x14ac:dyDescent="0.2">
      <c r="A99" s="53">
        <v>9.0499199999999995E-3</v>
      </c>
      <c r="B99" s="53">
        <v>3.7855E-2</v>
      </c>
      <c r="C99" s="54">
        <v>1.80277E-5</v>
      </c>
      <c r="D99" s="55">
        <f t="shared" si="37"/>
        <v>1.6609033199904311E-3</v>
      </c>
      <c r="E99" s="55">
        <f t="shared" si="38"/>
        <v>1.6609033199904311E-3</v>
      </c>
      <c r="F99" s="77">
        <f t="shared" si="39"/>
        <v>1.1079533160077842E-3</v>
      </c>
      <c r="G99" s="56">
        <f t="shared" si="40"/>
        <v>77183813292876.031</v>
      </c>
      <c r="H99" s="56" t="str">
        <f t="shared" ca="1" si="41"/>
        <v/>
      </c>
      <c r="I99" s="56">
        <f t="shared" si="42"/>
        <v>378685956957818.25</v>
      </c>
      <c r="J99" s="56">
        <f t="shared" si="43"/>
        <v>77183813292876.031</v>
      </c>
      <c r="K99" s="51">
        <f t="shared" si="50"/>
        <v>-1.8821808565302624E+16</v>
      </c>
      <c r="L99" s="56">
        <f t="shared" si="51"/>
        <v>4.100764972987868E-3</v>
      </c>
      <c r="M99" s="38" t="str">
        <f t="shared" ca="1" si="53"/>
        <v/>
      </c>
      <c r="N99" s="41" t="str">
        <f t="shared" ca="1" si="55"/>
        <v/>
      </c>
      <c r="O99" s="57">
        <f t="shared" si="52"/>
        <v>243.84705130842369</v>
      </c>
      <c r="P99" s="38" t="str">
        <f t="shared" ca="1" si="54"/>
        <v/>
      </c>
      <c r="Q99" s="46" t="str">
        <f t="shared" si="44"/>
        <v/>
      </c>
      <c r="R99" s="46" t="str">
        <f t="shared" si="45"/>
        <v/>
      </c>
      <c r="S99" s="57">
        <f t="shared" ca="1" si="46"/>
        <v>210.80724725468843</v>
      </c>
      <c r="T99" s="51">
        <f t="shared" ca="1" si="47"/>
        <v>77183813292876.031</v>
      </c>
      <c r="U99" s="58">
        <f>IF(CouplingMode="AC",B99-(A$11-A$10)*SUM(B$9:B99)/0.21,B99)</f>
        <v>3.7855E-2</v>
      </c>
      <c r="V99" s="58" t="e">
        <f ca="1">IF(G99&gt;Traps,CalcImpliedV(SampleDoping,T99),0.1)</f>
        <v>#NAME?</v>
      </c>
      <c r="W99" s="37">
        <f t="shared" ca="1" si="48"/>
        <v>4.1327490846511513E-3</v>
      </c>
      <c r="X99" s="41" t="str">
        <f t="shared" si="49"/>
        <v/>
      </c>
    </row>
    <row r="100" spans="1:24" x14ac:dyDescent="0.2">
      <c r="A100" s="53">
        <v>9.1499200000000006E-3</v>
      </c>
      <c r="B100" s="53">
        <v>3.6844200000000001E-2</v>
      </c>
      <c r="C100" s="54">
        <v>1.50394E-5</v>
      </c>
      <c r="D100" s="55">
        <f t="shared" si="37"/>
        <v>1.3855893647367157E-3</v>
      </c>
      <c r="E100" s="55">
        <f t="shared" si="38"/>
        <v>1.3855893647367157E-3</v>
      </c>
      <c r="F100" s="77">
        <f t="shared" si="39"/>
        <v>1.078329718346524E-3</v>
      </c>
      <c r="G100" s="56">
        <f t="shared" si="40"/>
        <v>75116740873343.734</v>
      </c>
      <c r="H100" s="56" t="str">
        <f t="shared" ca="1" si="41"/>
        <v/>
      </c>
      <c r="I100" s="56">
        <f t="shared" si="42"/>
        <v>315914375159971.19</v>
      </c>
      <c r="J100" s="56">
        <f t="shared" si="43"/>
        <v>75116740873343.734</v>
      </c>
      <c r="K100" s="51">
        <f t="shared" si="50"/>
        <v>-1.8567419037714704E+16</v>
      </c>
      <c r="L100" s="56">
        <f t="shared" si="51"/>
        <v>4.0456210268516226E-3</v>
      </c>
      <c r="M100" s="38" t="str">
        <f t="shared" ca="1" si="53"/>
        <v/>
      </c>
      <c r="N100" s="41" t="str">
        <f t="shared" ca="1" si="55"/>
        <v/>
      </c>
      <c r="O100" s="57">
        <f t="shared" si="52"/>
        <v>247.17147248472807</v>
      </c>
      <c r="P100" s="38" t="str">
        <f t="shared" ca="1" si="54"/>
        <v/>
      </c>
      <c r="Q100" s="46" t="str">
        <f t="shared" si="44"/>
        <v/>
      </c>
      <c r="R100" s="46" t="str">
        <f t="shared" si="45"/>
        <v/>
      </c>
      <c r="S100" s="57">
        <f t="shared" ca="1" si="46"/>
        <v>209.59646904475247</v>
      </c>
      <c r="T100" s="51">
        <f t="shared" ca="1" si="47"/>
        <v>75116740873343.734</v>
      </c>
      <c r="U100" s="58">
        <f>IF(CouplingMode="AC",B100-(A$11-A$10)*SUM(B$9:B100)/0.21,B100)</f>
        <v>3.6844200000000001E-2</v>
      </c>
      <c r="V100" s="58" t="e">
        <f ca="1">IF(G100&gt;Traps,CalcImpliedV(SampleDoping,T100),0.1)</f>
        <v>#NAME?</v>
      </c>
      <c r="W100" s="37">
        <f t="shared" ca="1" si="48"/>
        <v>4.07689217357716E-3</v>
      </c>
      <c r="X100" s="41" t="str">
        <f t="shared" si="49"/>
        <v/>
      </c>
    </row>
    <row r="101" spans="1:24" x14ac:dyDescent="0.2">
      <c r="A101" s="53">
        <v>9.24992E-3</v>
      </c>
      <c r="B101" s="53">
        <v>3.5999499999999997E-2</v>
      </c>
      <c r="C101" s="54">
        <v>1.49027E-5</v>
      </c>
      <c r="D101" s="55">
        <f t="shared" si="37"/>
        <v>1.3729951079073535E-3</v>
      </c>
      <c r="E101" s="55">
        <f t="shared" si="38"/>
        <v>1.3729951079073535E-3</v>
      </c>
      <c r="F101" s="77">
        <f t="shared" si="39"/>
        <v>1.0535756745649189E-3</v>
      </c>
      <c r="G101" s="56">
        <f t="shared" si="40"/>
        <v>73389591894293.625</v>
      </c>
      <c r="H101" s="56" t="str">
        <f t="shared" ca="1" si="41"/>
        <v/>
      </c>
      <c r="I101" s="56">
        <f t="shared" si="42"/>
        <v>313042884602876.62</v>
      </c>
      <c r="J101" s="56">
        <f t="shared" si="43"/>
        <v>73389591894293.625</v>
      </c>
      <c r="K101" s="51">
        <f t="shared" si="50"/>
        <v>-1.8856251769137624E+16</v>
      </c>
      <c r="L101" s="56">
        <f t="shared" si="51"/>
        <v>3.8920562152448416E-3</v>
      </c>
      <c r="M101" s="38" t="str">
        <f t="shared" ca="1" si="53"/>
        <v/>
      </c>
      <c r="N101" s="41" t="str">
        <f t="shared" ca="1" si="55"/>
        <v/>
      </c>
      <c r="O101" s="57">
        <f t="shared" si="52"/>
        <v>256.9246553877278</v>
      </c>
      <c r="P101" s="38" t="str">
        <f t="shared" ca="1" si="54"/>
        <v/>
      </c>
      <c r="Q101" s="46" t="str">
        <f t="shared" si="44"/>
        <v/>
      </c>
      <c r="R101" s="46" t="str">
        <f t="shared" si="45"/>
        <v/>
      </c>
      <c r="S101" s="57">
        <f t="shared" ca="1" si="46"/>
        <v>208.58479943444428</v>
      </c>
      <c r="T101" s="51">
        <f t="shared" ca="1" si="47"/>
        <v>73389591894293.625</v>
      </c>
      <c r="U101" s="58">
        <f>IF(CouplingMode="AC",B101-(A$11-A$10)*SUM(B$9:B101)/0.21,B101)</f>
        <v>3.5999499999999997E-2</v>
      </c>
      <c r="V101" s="58" t="e">
        <f ca="1">IF(G101&gt;Traps,CalcImpliedV(SampleDoping,T101),0.1)</f>
        <v>#NAME?</v>
      </c>
      <c r="W101" s="37">
        <f t="shared" ca="1" si="48"/>
        <v>4.140311860493213E-3</v>
      </c>
      <c r="X101" s="41" t="str">
        <f t="shared" si="49"/>
        <v/>
      </c>
    </row>
    <row r="102" spans="1:24" x14ac:dyDescent="0.2">
      <c r="A102" s="53">
        <v>9.3499199999999994E-3</v>
      </c>
      <c r="B102" s="53">
        <v>3.5106900000000003E-2</v>
      </c>
      <c r="C102" s="54">
        <v>1.24418E-5</v>
      </c>
      <c r="D102" s="55">
        <f t="shared" si="37"/>
        <v>1.146270845790475E-3</v>
      </c>
      <c r="E102" s="55">
        <f t="shared" si="38"/>
        <v>1.146270845790475E-3</v>
      </c>
      <c r="F102" s="77">
        <f t="shared" si="39"/>
        <v>1.0274195452451979E-3</v>
      </c>
      <c r="G102" s="56">
        <f t="shared" si="40"/>
        <v>71564751169433.766</v>
      </c>
      <c r="H102" s="56" t="str">
        <f t="shared" ca="1" si="41"/>
        <v/>
      </c>
      <c r="I102" s="56">
        <f t="shared" si="42"/>
        <v>261349752840228.31</v>
      </c>
      <c r="J102" s="56">
        <f t="shared" si="43"/>
        <v>71564751169433.766</v>
      </c>
      <c r="K102" s="51">
        <f t="shared" si="50"/>
        <v>-1.7928225617471006E+16</v>
      </c>
      <c r="L102" s="56">
        <f t="shared" si="51"/>
        <v>3.9917364214612583E-3</v>
      </c>
      <c r="M102" s="38" t="str">
        <f t="shared" ca="1" si="53"/>
        <v/>
      </c>
      <c r="N102" s="41" t="str">
        <f t="shared" ca="1" si="55"/>
        <v/>
      </c>
      <c r="O102" s="57">
        <f t="shared" si="52"/>
        <v>250.50904113507104</v>
      </c>
      <c r="P102" s="38" t="str">
        <f t="shared" ca="1" si="54"/>
        <v/>
      </c>
      <c r="Q102" s="46" t="str">
        <f t="shared" si="44"/>
        <v/>
      </c>
      <c r="R102" s="46" t="str">
        <f t="shared" si="45"/>
        <v/>
      </c>
      <c r="S102" s="57">
        <f t="shared" ca="1" si="46"/>
        <v>207.51590733110714</v>
      </c>
      <c r="T102" s="51">
        <f t="shared" ca="1" si="47"/>
        <v>71564751169433.766</v>
      </c>
      <c r="U102" s="58">
        <f>IF(CouplingMode="AC",B102-(A$11-A$10)*SUM(B$9:B102)/0.21,B102)</f>
        <v>3.5106900000000003E-2</v>
      </c>
      <c r="V102" s="58" t="e">
        <f ca="1">IF(G102&gt;Traps,CalcImpliedV(SampleDoping,T102),0.1)</f>
        <v>#NAME?</v>
      </c>
      <c r="W102" s="37">
        <f t="shared" ca="1" si="48"/>
        <v>3.9365429604150967E-3</v>
      </c>
      <c r="X102" s="41" t="str">
        <f t="shared" si="49"/>
        <v/>
      </c>
    </row>
    <row r="103" spans="1:24" x14ac:dyDescent="0.2">
      <c r="A103" s="53">
        <v>9.4499200000000005E-3</v>
      </c>
      <c r="B103" s="53">
        <v>3.4112299999999998E-2</v>
      </c>
      <c r="C103" s="54">
        <v>5.1175499999999998E-6</v>
      </c>
      <c r="D103" s="55">
        <f t="shared" si="37"/>
        <v>4.7148309463864113E-4</v>
      </c>
      <c r="E103" s="55">
        <f t="shared" si="38"/>
        <v>4.7148309463864113E-4</v>
      </c>
      <c r="F103" s="77">
        <f t="shared" si="39"/>
        <v>9.9827645213730609E-4</v>
      </c>
      <c r="G103" s="56">
        <f t="shared" si="40"/>
        <v>69531682260262.195</v>
      </c>
      <c r="H103" s="56" t="str">
        <f t="shared" ca="1" si="41"/>
        <v/>
      </c>
      <c r="I103" s="56">
        <f t="shared" si="42"/>
        <v>107498145577610.17</v>
      </c>
      <c r="J103" s="56">
        <f t="shared" si="43"/>
        <v>69531682260262.195</v>
      </c>
      <c r="K103" s="51">
        <f t="shared" si="50"/>
        <v>-1.7246321614367532E+16</v>
      </c>
      <c r="L103" s="56">
        <f t="shared" si="51"/>
        <v>4.0316818748374079E-3</v>
      </c>
      <c r="M103" s="38" t="str">
        <f t="shared" ca="1" si="53"/>
        <v/>
      </c>
      <c r="N103" s="41" t="str">
        <f t="shared" ca="1" si="55"/>
        <v/>
      </c>
      <c r="O103" s="57">
        <f t="shared" si="52"/>
        <v>248.02741750760296</v>
      </c>
      <c r="P103" s="38" t="str">
        <f t="shared" ca="1" si="54"/>
        <v/>
      </c>
      <c r="Q103" s="46" t="str">
        <f t="shared" si="44"/>
        <v/>
      </c>
      <c r="R103" s="46" t="str">
        <f t="shared" si="45"/>
        <v/>
      </c>
      <c r="S103" s="57">
        <f t="shared" ca="1" si="46"/>
        <v>206.32504652175041</v>
      </c>
      <c r="T103" s="51">
        <f t="shared" ca="1" si="47"/>
        <v>69531682260262.195</v>
      </c>
      <c r="U103" s="58">
        <f>IF(CouplingMode="AC",B103-(A$11-A$10)*SUM(B$9:B103)/0.21,B103)</f>
        <v>3.4112299999999998E-2</v>
      </c>
      <c r="V103" s="58" t="e">
        <f ca="1">IF(G103&gt;Traps,CalcImpliedV(SampleDoping,T103),0.1)</f>
        <v>#NAME?</v>
      </c>
      <c r="W103" s="37">
        <f t="shared" ca="1" si="48"/>
        <v>3.7868156834178716E-3</v>
      </c>
      <c r="X103" s="41" t="str">
        <f t="shared" si="49"/>
        <v/>
      </c>
    </row>
    <row r="104" spans="1:24" x14ac:dyDescent="0.2">
      <c r="A104" s="53">
        <v>9.5499199999999999E-3</v>
      </c>
      <c r="B104" s="53">
        <v>3.3402800000000003E-2</v>
      </c>
      <c r="C104" s="54">
        <v>7.5589599999999997E-6</v>
      </c>
      <c r="D104" s="55">
        <f t="shared" si="37"/>
        <v>6.9641173081839991E-4</v>
      </c>
      <c r="E104" s="55">
        <f t="shared" si="38"/>
        <v>6.9641173081839991E-4</v>
      </c>
      <c r="F104" s="77">
        <f t="shared" si="39"/>
        <v>9.7748843647370298E-4</v>
      </c>
      <c r="G104" s="56">
        <f t="shared" si="40"/>
        <v>68081582881623.953</v>
      </c>
      <c r="H104" s="56" t="str">
        <f t="shared" ca="1" si="41"/>
        <v/>
      </c>
      <c r="I104" s="56">
        <f t="shared" si="42"/>
        <v>158781874626595.19</v>
      </c>
      <c r="J104" s="56">
        <f t="shared" si="43"/>
        <v>68081582881623.953</v>
      </c>
      <c r="K104" s="51">
        <f t="shared" si="50"/>
        <v>-1.661938625516044E+16</v>
      </c>
      <c r="L104" s="56">
        <f t="shared" si="51"/>
        <v>4.0965160708316848E-3</v>
      </c>
      <c r="M104" s="38" t="str">
        <f t="shared" ca="1" si="53"/>
        <v/>
      </c>
      <c r="N104" s="41" t="str">
        <f t="shared" ca="1" si="55"/>
        <v/>
      </c>
      <c r="O104" s="57">
        <f t="shared" si="52"/>
        <v>244.10217438730885</v>
      </c>
      <c r="P104" s="38" t="str">
        <f t="shared" ca="1" si="54"/>
        <v/>
      </c>
      <c r="Q104" s="46" t="str">
        <f t="shared" si="44"/>
        <v/>
      </c>
      <c r="R104" s="46" t="str">
        <f t="shared" si="45"/>
        <v/>
      </c>
      <c r="S104" s="57">
        <f t="shared" ca="1" si="46"/>
        <v>205.47565744698636</v>
      </c>
      <c r="T104" s="51">
        <f t="shared" ca="1" si="47"/>
        <v>68081582881623.953</v>
      </c>
      <c r="U104" s="58">
        <f>IF(CouplingMode="AC",B104-(A$11-A$10)*SUM(B$9:B104)/0.21,B104)</f>
        <v>3.3402800000000003E-2</v>
      </c>
      <c r="V104" s="58" t="e">
        <f ca="1">IF(G104&gt;Traps,CalcImpliedV(SampleDoping,T104),0.1)</f>
        <v>#NAME?</v>
      </c>
      <c r="W104" s="37">
        <f t="shared" ca="1" si="48"/>
        <v>3.6491580017498667E-3</v>
      </c>
      <c r="X104" s="41" t="str">
        <f t="shared" si="49"/>
        <v/>
      </c>
    </row>
    <row r="105" spans="1:24" x14ac:dyDescent="0.2">
      <c r="A105" s="53">
        <v>9.6499199999999993E-3</v>
      </c>
      <c r="B105" s="53">
        <v>3.2632799999999997E-2</v>
      </c>
      <c r="C105" s="54">
        <v>3.9652099999999996E-6</v>
      </c>
      <c r="D105" s="55">
        <f t="shared" ref="D105:D133" si="56">IF(C105&gt;0,C105/RefCellCal,0.00001)</f>
        <v>3.6531728692286078E-4</v>
      </c>
      <c r="E105" s="55">
        <f t="shared" ref="E105:E133" si="57">D105-BiasLight</f>
        <v>3.6531728692286078E-4</v>
      </c>
      <c r="F105" s="77">
        <f t="shared" ref="F105:F133" si="58">CalcConductance(B105,Dark_Voltage,A_cal,B_cal,C_cal)</f>
        <v>9.5492899693939981E-4</v>
      </c>
      <c r="G105" s="56">
        <f t="shared" ref="G105:G133" si="59">CalcDeltaN(F105,SampleDoping,Thickness,AreaFrac)</f>
        <v>66508015231014.773</v>
      </c>
      <c r="H105" s="56" t="str">
        <f t="shared" ref="H105:H133" ca="1" si="60">IF(AND(AND(G105&gt;=FitRangeMin,G105&lt;=FitRangeMax),A105&gt;TimeofMaxCD),G105,"")</f>
        <v/>
      </c>
      <c r="I105" s="56">
        <f t="shared" ref="I105:I133" si="61">E105*0.038*OptConst/1.6E-19</f>
        <v>83292341418412.266</v>
      </c>
      <c r="J105" s="56">
        <f t="shared" ref="J105:J133" si="62">IF(G105-BiasPtCD=0,0.00001,G105-BiasPtCD)</f>
        <v>66508015231014.773</v>
      </c>
      <c r="K105" s="51">
        <f t="shared" si="50"/>
        <v>-1.6096425530941704E+16</v>
      </c>
      <c r="L105" s="56">
        <f t="shared" si="51"/>
        <v>4.1318499627863523E-3</v>
      </c>
      <c r="M105" s="38" t="str">
        <f t="shared" ca="1" si="53"/>
        <v/>
      </c>
      <c r="N105" s="41" t="str">
        <f t="shared" ca="1" si="55"/>
        <v/>
      </c>
      <c r="O105" s="57">
        <f t="shared" si="52"/>
        <v>242.01499813693161</v>
      </c>
      <c r="P105" s="38" t="str">
        <f t="shared" ca="1" si="54"/>
        <v/>
      </c>
      <c r="Q105" s="46" t="str">
        <f t="shared" ref="Q105:Q133" si="63">IF(D105&gt;0.85*BiasLight,IF( D105&lt;1.15*BiasLight,D105,""),"")</f>
        <v/>
      </c>
      <c r="R105" s="46" t="str">
        <f t="shared" ref="R105:R133" si="64">IF(D105&gt;0.85*BiasLight,IF(D105&lt;1.15*BiasLight,G105,""),"")</f>
        <v/>
      </c>
      <c r="S105" s="57">
        <f t="shared" ref="S105:S133" ca="1" si="65">FitInterceptAuger+FitSlopeAuger*(G105+Traps)</f>
        <v>204.55394739695879</v>
      </c>
      <c r="T105" s="51">
        <f t="shared" ref="T105:T133" ca="1" si="66">G105-Traps</f>
        <v>66508015231014.773</v>
      </c>
      <c r="U105" s="58">
        <f>IF(CouplingMode="AC",B105-(A$11-A$10)*SUM(B$9:B105)/0.21,B105)</f>
        <v>3.2632799999999997E-2</v>
      </c>
      <c r="V105" s="58" t="e">
        <f ca="1">IF(G105&gt;Traps,CalcImpliedV(SampleDoping,T105),0.1)</f>
        <v>#NAME?</v>
      </c>
      <c r="W105" s="37">
        <f t="shared" ref="W105:W133" ca="1" si="67">IF(OR(L105="",L105&lt;0),"",(T105*Thickness*1.602E-19/(0.038*OptConst*L105)))</f>
        <v>3.5343302769419698E-3</v>
      </c>
      <c r="X105" s="41" t="str">
        <f t="shared" ref="X105:X133" si="68">IF(C105&gt;0.6,T105,"")</f>
        <v/>
      </c>
    </row>
    <row r="106" spans="1:24" x14ac:dyDescent="0.2">
      <c r="A106" s="53">
        <v>9.7499200000000005E-3</v>
      </c>
      <c r="B106" s="53">
        <v>3.1780700000000002E-2</v>
      </c>
      <c r="C106" s="54">
        <v>1.4219100000000001E-5</v>
      </c>
      <c r="D106" s="55">
        <f t="shared" si="56"/>
        <v>1.3100146106977562E-3</v>
      </c>
      <c r="E106" s="55">
        <f t="shared" si="57"/>
        <v>1.3100146106977562E-3</v>
      </c>
      <c r="F106" s="77">
        <f t="shared" si="58"/>
        <v>9.2996564684047489E-4</v>
      </c>
      <c r="G106" s="56">
        <f t="shared" si="59"/>
        <v>64766891556477.25</v>
      </c>
      <c r="H106" s="56" t="str">
        <f t="shared" ca="1" si="60"/>
        <v/>
      </c>
      <c r="I106" s="56">
        <f t="shared" si="61"/>
        <v>298683331239088.44</v>
      </c>
      <c r="J106" s="56">
        <f t="shared" si="62"/>
        <v>64766891556477.25</v>
      </c>
      <c r="K106" s="51">
        <f t="shared" si="50"/>
        <v>-1.5522833178435056E+16</v>
      </c>
      <c r="L106" s="56">
        <f t="shared" si="51"/>
        <v>4.1723627904765494E-3</v>
      </c>
      <c r="M106" s="38" t="str">
        <f t="shared" ca="1" si="53"/>
        <v/>
      </c>
      <c r="N106" s="41" t="str">
        <f t="shared" ca="1" si="55"/>
        <v/>
      </c>
      <c r="O106" s="57">
        <f t="shared" si="52"/>
        <v>239.665387901918</v>
      </c>
      <c r="P106" s="38" t="str">
        <f t="shared" ca="1" si="54"/>
        <v/>
      </c>
      <c r="Q106" s="46" t="str">
        <f t="shared" si="63"/>
        <v/>
      </c>
      <c r="R106" s="46" t="str">
        <f t="shared" si="64"/>
        <v/>
      </c>
      <c r="S106" s="57">
        <f t="shared" ca="1" si="65"/>
        <v>203.53409217272301</v>
      </c>
      <c r="T106" s="51">
        <f t="shared" ca="1" si="66"/>
        <v>64766891556477.25</v>
      </c>
      <c r="U106" s="58">
        <f>IF(CouplingMode="AC",B106-(A$11-A$10)*SUM(B$9:B106)/0.21,B106)</f>
        <v>3.1780700000000002E-2</v>
      </c>
      <c r="V106" s="58" t="e">
        <f ca="1">IF(G106&gt;Traps,CalcImpliedV(SampleDoping,T106),0.1)</f>
        <v>#NAME?</v>
      </c>
      <c r="W106" s="37">
        <f t="shared" ca="1" si="67"/>
        <v>3.4083852455938819E-3</v>
      </c>
      <c r="X106" s="41" t="str">
        <f t="shared" si="68"/>
        <v/>
      </c>
    </row>
    <row r="107" spans="1:24" x14ac:dyDescent="0.2">
      <c r="A107" s="53">
        <v>9.8499199999999999E-3</v>
      </c>
      <c r="B107" s="53">
        <v>3.09848E-2</v>
      </c>
      <c r="C107" s="54">
        <v>1.47465E-5</v>
      </c>
      <c r="D107" s="55">
        <f t="shared" si="56"/>
        <v>1.3586043038345931E-3</v>
      </c>
      <c r="E107" s="55">
        <f t="shared" si="57"/>
        <v>1.3586043038345931E-3</v>
      </c>
      <c r="F107" s="77">
        <f t="shared" si="58"/>
        <v>9.0665012590031291E-4</v>
      </c>
      <c r="G107" s="56">
        <f t="shared" si="59"/>
        <v>63140815157364.703</v>
      </c>
      <c r="H107" s="56" t="str">
        <f t="shared" ca="1" si="60"/>
        <v/>
      </c>
      <c r="I107" s="56">
        <f t="shared" si="61"/>
        <v>309761781274287.25</v>
      </c>
      <c r="J107" s="56">
        <f t="shared" si="62"/>
        <v>63140815157364.703</v>
      </c>
      <c r="K107" s="51">
        <f t="shared" ref="K107:K131" si="69">IF(ABS(SLOPE(J105:J109,A105:A109))&lt;1000000000000,-1000000000000,(SLOPE(J105:J109,A105:A109)))</f>
        <v>-1.5979147435641412E+16</v>
      </c>
      <c r="L107" s="56">
        <f t="shared" ref="L107:L131" si="70">CalcLifetime(AnalysisMode,J107,Thickness,I107,K107)</f>
        <v>3.951450814987126E-3</v>
      </c>
      <c r="M107" s="38" t="str">
        <f t="shared" ca="1" si="53"/>
        <v/>
      </c>
      <c r="N107" s="41" t="str">
        <f t="shared" ca="1" si="55"/>
        <v/>
      </c>
      <c r="O107" s="57">
        <f t="shared" ref="O107:O131" si="71">IF(AND(D107&gt;0.95*BiasLight,D107&lt;1.05*BiasLight),"",(1/L107)-(G107*G107)*Auger_Coefficient)</f>
        <v>253.06498701787851</v>
      </c>
      <c r="P107" s="38" t="str">
        <f t="shared" ca="1" si="54"/>
        <v/>
      </c>
      <c r="Q107" s="46" t="str">
        <f t="shared" si="63"/>
        <v/>
      </c>
      <c r="R107" s="46" t="str">
        <f t="shared" si="64"/>
        <v/>
      </c>
      <c r="S107" s="57">
        <f t="shared" ca="1" si="65"/>
        <v>202.58162536356201</v>
      </c>
      <c r="T107" s="51">
        <f t="shared" ca="1" si="66"/>
        <v>63140815157364.703</v>
      </c>
      <c r="U107" s="58">
        <f>IF(CouplingMode="AC",B107-(A$11-A$10)*SUM(B$9:B107)/0.21,B107)</f>
        <v>3.09848E-2</v>
      </c>
      <c r="V107" s="58" t="e">
        <f ca="1">IF(G107&gt;Traps,CalcImpliedV(SampleDoping,T107),0.1)</f>
        <v>#NAME?</v>
      </c>
      <c r="W107" s="37">
        <f t="shared" ca="1" si="67"/>
        <v>3.5085792477929745E-3</v>
      </c>
      <c r="X107" s="41" t="str">
        <f t="shared" si="68"/>
        <v/>
      </c>
    </row>
    <row r="108" spans="1:24" x14ac:dyDescent="0.2">
      <c r="A108" s="53">
        <v>9.9499199999999993E-3</v>
      </c>
      <c r="B108" s="53">
        <v>3.0428199999999999E-2</v>
      </c>
      <c r="C108" s="54">
        <v>1.7949599999999998E-5</v>
      </c>
      <c r="D108" s="55">
        <f t="shared" si="56"/>
        <v>1.6537079179540508E-3</v>
      </c>
      <c r="E108" s="55">
        <f t="shared" si="57"/>
        <v>1.6537079179540508E-3</v>
      </c>
      <c r="F108" s="77">
        <f t="shared" si="58"/>
        <v>8.9034557874206888E-4</v>
      </c>
      <c r="G108" s="56">
        <f t="shared" si="59"/>
        <v>62003766329231.469</v>
      </c>
      <c r="H108" s="56" t="str">
        <f t="shared" ca="1" si="60"/>
        <v/>
      </c>
      <c r="I108" s="56">
        <f t="shared" si="61"/>
        <v>377045405293523.56</v>
      </c>
      <c r="J108" s="56">
        <f t="shared" si="62"/>
        <v>62003766329231.469</v>
      </c>
      <c r="K108" s="51">
        <f t="shared" si="69"/>
        <v>-1.5974333565535328E+16</v>
      </c>
      <c r="L108" s="56">
        <f t="shared" si="70"/>
        <v>3.8814618509660256E-3</v>
      </c>
      <c r="M108" s="38" t="str">
        <f t="shared" ref="M108:M133" ca="1" si="72">IF($H108="","",L108)</f>
        <v/>
      </c>
      <c r="N108" s="41" t="str">
        <f t="shared" ca="1" si="55"/>
        <v/>
      </c>
      <c r="O108" s="57">
        <f t="shared" si="71"/>
        <v>257.62850895431484</v>
      </c>
      <c r="P108" s="38" t="str">
        <f t="shared" ref="P108:P133" ca="1" si="73">IF($H108="","",O108)</f>
        <v/>
      </c>
      <c r="Q108" s="46" t="str">
        <f t="shared" si="63"/>
        <v/>
      </c>
      <c r="R108" s="46" t="str">
        <f t="shared" si="64"/>
        <v/>
      </c>
      <c r="S108" s="57">
        <f t="shared" ca="1" si="65"/>
        <v>201.91560421610342</v>
      </c>
      <c r="T108" s="51">
        <f t="shared" ca="1" si="66"/>
        <v>62003766329231.469</v>
      </c>
      <c r="U108" s="58">
        <f>IF(CouplingMode="AC",B108-(A$11-A$10)*SUM(B$9:B108)/0.21,B108)</f>
        <v>3.0428199999999999E-2</v>
      </c>
      <c r="V108" s="58" t="e">
        <f ca="1">IF(G108&gt;Traps,CalcImpliedV(SampleDoping,T108),0.1)</f>
        <v>#NAME?</v>
      </c>
      <c r="W108" s="37">
        <f t="shared" ca="1" si="67"/>
        <v>3.5075222549325112E-3</v>
      </c>
      <c r="X108" s="41" t="str">
        <f t="shared" si="68"/>
        <v/>
      </c>
    </row>
    <row r="109" spans="1:24" x14ac:dyDescent="0.2">
      <c r="A109" s="53">
        <v>1.00499E-2</v>
      </c>
      <c r="B109" s="53">
        <v>2.9398400000000002E-2</v>
      </c>
      <c r="C109" s="54">
        <v>1.7558999999999999E-5</v>
      </c>
      <c r="D109" s="55">
        <f t="shared" si="56"/>
        <v>1.6177216947093629E-3</v>
      </c>
      <c r="E109" s="55">
        <f t="shared" si="57"/>
        <v>1.6177216947093629E-3</v>
      </c>
      <c r="F109" s="77">
        <f t="shared" si="58"/>
        <v>8.6018124754858039E-4</v>
      </c>
      <c r="G109" s="56">
        <f t="shared" si="59"/>
        <v>59900306901934.414</v>
      </c>
      <c r="H109" s="56" t="str">
        <f t="shared" ca="1" si="60"/>
        <v/>
      </c>
      <c r="I109" s="56">
        <f t="shared" si="61"/>
        <v>368840546393734.69</v>
      </c>
      <c r="J109" s="56">
        <f t="shared" si="62"/>
        <v>59900306901934.414</v>
      </c>
      <c r="K109" s="51">
        <f t="shared" si="69"/>
        <v>-1.5956557687784772E+16</v>
      </c>
      <c r="L109" s="56">
        <f t="shared" si="70"/>
        <v>3.7539617299657251E-3</v>
      </c>
      <c r="M109" s="38" t="str">
        <f t="shared" ca="1" si="72"/>
        <v/>
      </c>
      <c r="N109" s="41" t="str">
        <f t="shared" ca="1" si="55"/>
        <v/>
      </c>
      <c r="O109" s="57">
        <f t="shared" si="71"/>
        <v>266.37928480462097</v>
      </c>
      <c r="P109" s="38" t="str">
        <f t="shared" ca="1" si="73"/>
        <v/>
      </c>
      <c r="Q109" s="46" t="str">
        <f t="shared" si="63"/>
        <v/>
      </c>
      <c r="R109" s="46" t="str">
        <f t="shared" si="64"/>
        <v/>
      </c>
      <c r="S109" s="57">
        <f t="shared" ca="1" si="65"/>
        <v>200.68351248289173</v>
      </c>
      <c r="T109" s="51">
        <f t="shared" ca="1" si="66"/>
        <v>59900306901934.414</v>
      </c>
      <c r="U109" s="58">
        <f>IF(CouplingMode="AC",B109-(A$11-A$10)*SUM(B$9:B109)/0.21,B109)</f>
        <v>2.9398400000000002E-2</v>
      </c>
      <c r="V109" s="58" t="e">
        <f ca="1">IF(G109&gt;Traps,CalcImpliedV(SampleDoping,T109),0.1)</f>
        <v>#NAME?</v>
      </c>
      <c r="W109" s="37">
        <f t="shared" ca="1" si="67"/>
        <v>3.5036191633540585E-3</v>
      </c>
      <c r="X109" s="41" t="str">
        <f t="shared" si="68"/>
        <v/>
      </c>
    </row>
    <row r="110" spans="1:24" x14ac:dyDescent="0.2">
      <c r="A110" s="53">
        <v>1.01499E-2</v>
      </c>
      <c r="B110" s="53">
        <v>2.8663999999999999E-2</v>
      </c>
      <c r="C110" s="54">
        <v>8.0081799999999993E-6</v>
      </c>
      <c r="D110" s="55">
        <f t="shared" si="56"/>
        <v>7.377986514686271E-4</v>
      </c>
      <c r="E110" s="55">
        <f t="shared" si="57"/>
        <v>7.377986514686271E-4</v>
      </c>
      <c r="F110" s="77">
        <f t="shared" si="58"/>
        <v>8.3867097158539516E-4</v>
      </c>
      <c r="G110" s="56">
        <f t="shared" si="59"/>
        <v>58400438908927.195</v>
      </c>
      <c r="H110" s="56" t="str">
        <f t="shared" ca="1" si="60"/>
        <v/>
      </c>
      <c r="I110" s="56">
        <f t="shared" si="61"/>
        <v>168218092534846.97</v>
      </c>
      <c r="J110" s="56">
        <f t="shared" si="62"/>
        <v>58400438908927.195</v>
      </c>
      <c r="K110" s="51">
        <f t="shared" si="69"/>
        <v>-1.634019249840495E+16</v>
      </c>
      <c r="L110" s="56">
        <f t="shared" si="70"/>
        <v>3.5740361635658796E-3</v>
      </c>
      <c r="M110" s="38" t="str">
        <f t="shared" ca="1" si="72"/>
        <v/>
      </c>
      <c r="N110" s="41" t="str">
        <f t="shared" ca="1" si="55"/>
        <v/>
      </c>
      <c r="O110" s="57">
        <f t="shared" si="71"/>
        <v>279.79005231626485</v>
      </c>
      <c r="P110" s="38" t="str">
        <f t="shared" ca="1" si="73"/>
        <v/>
      </c>
      <c r="Q110" s="46" t="str">
        <f t="shared" si="63"/>
        <v/>
      </c>
      <c r="R110" s="46" t="str">
        <f t="shared" si="64"/>
        <v/>
      </c>
      <c r="S110" s="57">
        <f t="shared" ca="1" si="65"/>
        <v>199.80497167002343</v>
      </c>
      <c r="T110" s="51">
        <f t="shared" ca="1" si="66"/>
        <v>58400438908927.195</v>
      </c>
      <c r="U110" s="58">
        <f>IF(CouplingMode="AC",B110-(A$11-A$10)*SUM(B$9:B110)/0.21,B110)</f>
        <v>2.8663999999999999E-2</v>
      </c>
      <c r="V110" s="58" t="e">
        <f ca="1">IF(G110&gt;Traps,CalcImpliedV(SampleDoping,T110),0.1)</f>
        <v>#NAME?</v>
      </c>
      <c r="W110" s="37">
        <f t="shared" ca="1" si="67"/>
        <v>3.5878547673306922E-3</v>
      </c>
      <c r="X110" s="41" t="str">
        <f t="shared" si="68"/>
        <v/>
      </c>
    </row>
    <row r="111" spans="1:24" x14ac:dyDescent="0.2">
      <c r="A111" s="53">
        <v>1.0249899999999999E-2</v>
      </c>
      <c r="B111" s="53">
        <v>2.79609E-2</v>
      </c>
      <c r="C111" s="54">
        <v>1.08597E-5</v>
      </c>
      <c r="D111" s="55">
        <f t="shared" si="56"/>
        <v>1.0005109794427511E-3</v>
      </c>
      <c r="E111" s="55">
        <f t="shared" si="57"/>
        <v>1.0005109794427511E-3</v>
      </c>
      <c r="F111" s="77">
        <f t="shared" si="58"/>
        <v>8.1807852235757372E-4</v>
      </c>
      <c r="G111" s="56">
        <f t="shared" si="59"/>
        <v>56964659320106.031</v>
      </c>
      <c r="H111" s="56" t="str">
        <f t="shared" ca="1" si="60"/>
        <v/>
      </c>
      <c r="I111" s="56">
        <f t="shared" si="61"/>
        <v>228116503312947.25</v>
      </c>
      <c r="J111" s="56">
        <f t="shared" si="62"/>
        <v>56964659320106.031</v>
      </c>
      <c r="K111" s="51">
        <f t="shared" si="69"/>
        <v>-1.5475596481004544E+16</v>
      </c>
      <c r="L111" s="56">
        <f t="shared" si="70"/>
        <v>3.6809346502428559E-3</v>
      </c>
      <c r="M111" s="38" t="str">
        <f t="shared" ca="1" si="72"/>
        <v/>
      </c>
      <c r="N111" s="41" t="str">
        <f t="shared" ca="1" si="55"/>
        <v/>
      </c>
      <c r="O111" s="57">
        <f t="shared" si="71"/>
        <v>271.66474471692129</v>
      </c>
      <c r="P111" s="38" t="str">
        <f t="shared" ca="1" si="73"/>
        <v/>
      </c>
      <c r="Q111" s="46" t="str">
        <f t="shared" si="63"/>
        <v/>
      </c>
      <c r="R111" s="46" t="str">
        <f t="shared" si="64"/>
        <v/>
      </c>
      <c r="S111" s="57">
        <f t="shared" ca="1" si="65"/>
        <v>198.96397034661123</v>
      </c>
      <c r="T111" s="51">
        <f t="shared" ca="1" si="66"/>
        <v>56964659320106.031</v>
      </c>
      <c r="U111" s="58">
        <f>IF(CouplingMode="AC",B111-(A$11-A$10)*SUM(B$9:B111)/0.21,B111)</f>
        <v>2.79609E-2</v>
      </c>
      <c r="V111" s="58" t="e">
        <f ca="1">IF(G111&gt;Traps,CalcImpliedV(SampleDoping,T111),0.1)</f>
        <v>#NAME?</v>
      </c>
      <c r="W111" s="37">
        <f t="shared" ca="1" si="67"/>
        <v>3.3980133720626759E-3</v>
      </c>
      <c r="X111" s="41" t="str">
        <f t="shared" si="68"/>
        <v/>
      </c>
    </row>
    <row r="112" spans="1:24" x14ac:dyDescent="0.2">
      <c r="A112" s="53">
        <v>1.03499E-2</v>
      </c>
      <c r="B112" s="53">
        <v>2.71465E-2</v>
      </c>
      <c r="C112" s="54">
        <v>-3.4761999999999999E-6</v>
      </c>
      <c r="D112" s="55">
        <f t="shared" si="56"/>
        <v>1.0000000000000001E-5</v>
      </c>
      <c r="E112" s="55">
        <f t="shared" si="57"/>
        <v>1.0000000000000001E-5</v>
      </c>
      <c r="F112" s="77">
        <f t="shared" si="58"/>
        <v>7.9422760900864364E-4</v>
      </c>
      <c r="G112" s="56">
        <f t="shared" si="59"/>
        <v>55301798495264.992</v>
      </c>
      <c r="H112" s="56" t="str">
        <f t="shared" ca="1" si="60"/>
        <v/>
      </c>
      <c r="I112" s="56">
        <f t="shared" si="61"/>
        <v>2280000000000</v>
      </c>
      <c r="J112" s="56">
        <f t="shared" si="62"/>
        <v>55301798495264.992</v>
      </c>
      <c r="K112" s="51">
        <f t="shared" si="69"/>
        <v>-1.4049625883856264E+16</v>
      </c>
      <c r="L112" s="56">
        <f t="shared" si="70"/>
        <v>3.936175877737042E-3</v>
      </c>
      <c r="M112" s="38" t="str">
        <f t="shared" ca="1" si="72"/>
        <v/>
      </c>
      <c r="N112" s="41" t="str">
        <f t="shared" ca="1" si="55"/>
        <v/>
      </c>
      <c r="O112" s="57">
        <f t="shared" si="71"/>
        <v>254.04861165813028</v>
      </c>
      <c r="P112" s="38" t="str">
        <f t="shared" ca="1" si="73"/>
        <v/>
      </c>
      <c r="Q112" s="46" t="str">
        <f t="shared" si="63"/>
        <v/>
      </c>
      <c r="R112" s="46" t="str">
        <f t="shared" si="64"/>
        <v/>
      </c>
      <c r="S112" s="57">
        <f t="shared" ca="1" si="65"/>
        <v>197.98995722842102</v>
      </c>
      <c r="T112" s="51">
        <f t="shared" ca="1" si="66"/>
        <v>55301798495264.992</v>
      </c>
      <c r="U112" s="58">
        <f>IF(CouplingMode="AC",B112-(A$11-A$10)*SUM(B$9:B112)/0.21,B112)</f>
        <v>2.71465E-2</v>
      </c>
      <c r="V112" s="58" t="e">
        <f ca="1">IF(G112&gt;Traps,CalcImpliedV(SampleDoping,T112),0.1)</f>
        <v>#NAME?</v>
      </c>
      <c r="W112" s="37">
        <f t="shared" ca="1" si="67"/>
        <v>3.0849096307480448E-3</v>
      </c>
      <c r="X112" s="41" t="str">
        <f t="shared" si="68"/>
        <v/>
      </c>
    </row>
    <row r="113" spans="1:24" x14ac:dyDescent="0.2">
      <c r="A113" s="53">
        <v>1.04499E-2</v>
      </c>
      <c r="B113" s="53">
        <v>2.6367700000000001E-2</v>
      </c>
      <c r="C113" s="54">
        <v>-1.1347300000000001E-5</v>
      </c>
      <c r="D113" s="55">
        <f t="shared" si="56"/>
        <v>1.0000000000000001E-5</v>
      </c>
      <c r="E113" s="55">
        <f t="shared" si="57"/>
        <v>1.0000000000000001E-5</v>
      </c>
      <c r="F113" s="77">
        <f t="shared" si="58"/>
        <v>7.7142059892054693E-4</v>
      </c>
      <c r="G113" s="56">
        <f t="shared" si="59"/>
        <v>53711828868263.25</v>
      </c>
      <c r="H113" s="56" t="str">
        <f t="shared" ca="1" si="60"/>
        <v/>
      </c>
      <c r="I113" s="56">
        <f t="shared" si="61"/>
        <v>2280000000000</v>
      </c>
      <c r="J113" s="56">
        <f t="shared" si="62"/>
        <v>53711828868263.25</v>
      </c>
      <c r="K113" s="51">
        <f t="shared" si="69"/>
        <v>-1.3071663292488568E+16</v>
      </c>
      <c r="L113" s="56">
        <f t="shared" si="70"/>
        <v>4.1090278770512653E-3</v>
      </c>
      <c r="M113" s="38" t="str">
        <f t="shared" ca="1" si="72"/>
        <v/>
      </c>
      <c r="N113" s="41" t="str">
        <f t="shared" ca="1" si="55"/>
        <v/>
      </c>
      <c r="O113" s="57">
        <f t="shared" si="71"/>
        <v>243.36177598318471</v>
      </c>
      <c r="P113" s="38" t="str">
        <f t="shared" ca="1" si="73"/>
        <v/>
      </c>
      <c r="Q113" s="46" t="str">
        <f t="shared" si="63"/>
        <v/>
      </c>
      <c r="R113" s="46" t="str">
        <f t="shared" si="64"/>
        <v/>
      </c>
      <c r="S113" s="57">
        <f t="shared" ca="1" si="65"/>
        <v>197.05863979578393</v>
      </c>
      <c r="T113" s="51">
        <f t="shared" ca="1" si="66"/>
        <v>53711828868263.25</v>
      </c>
      <c r="U113" s="58">
        <f>IF(CouplingMode="AC",B113-(A$11-A$10)*SUM(B$9:B113)/0.21,B113)</f>
        <v>2.6367700000000001E-2</v>
      </c>
      <c r="V113" s="58" t="e">
        <f ca="1">IF(G113&gt;Traps,CalcImpliedV(SampleDoping,T113),0.1)</f>
        <v>#NAME?</v>
      </c>
      <c r="W113" s="37">
        <f t="shared" ca="1" si="67"/>
        <v>2.8701760683342496E-3</v>
      </c>
      <c r="X113" s="41" t="str">
        <f t="shared" si="68"/>
        <v/>
      </c>
    </row>
    <row r="114" spans="1:24" x14ac:dyDescent="0.2">
      <c r="A114" s="53">
        <v>1.0549899999999999E-2</v>
      </c>
      <c r="B114" s="53">
        <v>2.6020000000000001E-2</v>
      </c>
      <c r="C114" s="54">
        <v>-1.6152000000000001E-5</v>
      </c>
      <c r="D114" s="55">
        <f t="shared" si="56"/>
        <v>1.0000000000000001E-5</v>
      </c>
      <c r="E114" s="55">
        <f t="shared" si="57"/>
        <v>1.0000000000000001E-5</v>
      </c>
      <c r="F114" s="77">
        <f t="shared" si="58"/>
        <v>7.6123868222155444E-4</v>
      </c>
      <c r="G114" s="56">
        <f t="shared" si="59"/>
        <v>53002041192920.461</v>
      </c>
      <c r="H114" s="56" t="str">
        <f t="shared" ca="1" si="60"/>
        <v/>
      </c>
      <c r="I114" s="56">
        <f t="shared" si="61"/>
        <v>2280000000000</v>
      </c>
      <c r="J114" s="56">
        <f t="shared" si="62"/>
        <v>53002041192920.461</v>
      </c>
      <c r="K114" s="51">
        <f t="shared" si="69"/>
        <v>-1.269831660939655E+16</v>
      </c>
      <c r="L114" s="56">
        <f t="shared" si="70"/>
        <v>4.1739423282059138E-3</v>
      </c>
      <c r="M114" s="38" t="str">
        <f t="shared" ca="1" si="72"/>
        <v/>
      </c>
      <c r="N114" s="41" t="str">
        <f t="shared" ca="1" si="55"/>
        <v/>
      </c>
      <c r="O114" s="57">
        <f t="shared" si="71"/>
        <v>239.57698909750033</v>
      </c>
      <c r="P114" s="38" t="str">
        <f t="shared" ca="1" si="73"/>
        <v/>
      </c>
      <c r="Q114" s="46" t="str">
        <f t="shared" si="63"/>
        <v/>
      </c>
      <c r="R114" s="46" t="str">
        <f t="shared" si="64"/>
        <v/>
      </c>
      <c r="S114" s="57">
        <f t="shared" ca="1" si="65"/>
        <v>196.64288491324305</v>
      </c>
      <c r="T114" s="51">
        <f t="shared" ca="1" si="66"/>
        <v>53002041192920.461</v>
      </c>
      <c r="U114" s="58">
        <f>IF(CouplingMode="AC",B114-(A$11-A$10)*SUM(B$9:B114)/0.21,B114)</f>
        <v>2.6020000000000001E-2</v>
      </c>
      <c r="V114" s="58" t="e">
        <f ca="1">IF(G114&gt;Traps,CalcImpliedV(SampleDoping,T114),0.1)</f>
        <v>#NAME?</v>
      </c>
      <c r="W114" s="37">
        <f t="shared" ca="1" si="67"/>
        <v>2.7881994528855918E-3</v>
      </c>
      <c r="X114" s="41" t="str">
        <f t="shared" si="68"/>
        <v/>
      </c>
    </row>
    <row r="115" spans="1:24" x14ac:dyDescent="0.2">
      <c r="A115" s="53">
        <v>1.06499E-2</v>
      </c>
      <c r="B115" s="53">
        <v>2.53227E-2</v>
      </c>
      <c r="C115" s="54">
        <v>-1.82223E-5</v>
      </c>
      <c r="D115" s="55">
        <f t="shared" si="56"/>
        <v>1.0000000000000001E-5</v>
      </c>
      <c r="E115" s="55">
        <f t="shared" si="57"/>
        <v>1.0000000000000001E-5</v>
      </c>
      <c r="F115" s="77">
        <f t="shared" si="58"/>
        <v>7.4081997597065519E-4</v>
      </c>
      <c r="G115" s="56">
        <f t="shared" si="59"/>
        <v>51578706325034.008</v>
      </c>
      <c r="H115" s="56" t="str">
        <f t="shared" ca="1" si="60"/>
        <v/>
      </c>
      <c r="I115" s="56">
        <f t="shared" si="61"/>
        <v>2280000000000</v>
      </c>
      <c r="J115" s="56">
        <f t="shared" si="62"/>
        <v>51578706325034.008</v>
      </c>
      <c r="K115" s="51">
        <f t="shared" si="69"/>
        <v>-1.306064191245343E+16</v>
      </c>
      <c r="L115" s="56">
        <f t="shared" si="70"/>
        <v>3.9491708501596147E-3</v>
      </c>
      <c r="M115" s="38" t="str">
        <f t="shared" ca="1" si="72"/>
        <v/>
      </c>
      <c r="N115" s="41" t="str">
        <f t="shared" ca="1" si="55"/>
        <v/>
      </c>
      <c r="O115" s="57">
        <f t="shared" si="71"/>
        <v>253.21329403143929</v>
      </c>
      <c r="P115" s="38" t="str">
        <f t="shared" ca="1" si="73"/>
        <v/>
      </c>
      <c r="Q115" s="46" t="str">
        <f t="shared" si="63"/>
        <v/>
      </c>
      <c r="R115" s="46" t="str">
        <f t="shared" si="64"/>
        <v/>
      </c>
      <c r="S115" s="57">
        <f t="shared" ca="1" si="65"/>
        <v>195.80917302816604</v>
      </c>
      <c r="T115" s="51">
        <f t="shared" ca="1" si="66"/>
        <v>51578706325034.008</v>
      </c>
      <c r="U115" s="58">
        <f>IF(CouplingMode="AC",B115-(A$11-A$10)*SUM(B$9:B115)/0.21,B115)</f>
        <v>2.53227E-2</v>
      </c>
      <c r="V115" s="58" t="e">
        <f ca="1">IF(G115&gt;Traps,CalcImpliedV(SampleDoping,T115),0.1)</f>
        <v>#NAME?</v>
      </c>
      <c r="W115" s="37">
        <f t="shared" ca="1" si="67"/>
        <v>2.8677560778166663E-3</v>
      </c>
      <c r="X115" s="41" t="str">
        <f t="shared" si="68"/>
        <v/>
      </c>
    </row>
    <row r="116" spans="1:24" x14ac:dyDescent="0.2">
      <c r="A116" s="53">
        <v>1.07499E-2</v>
      </c>
      <c r="B116" s="53">
        <v>2.45586E-2</v>
      </c>
      <c r="C116" s="54">
        <v>-1.54489E-5</v>
      </c>
      <c r="D116" s="55">
        <f t="shared" si="56"/>
        <v>1.0000000000000001E-5</v>
      </c>
      <c r="E116" s="55">
        <f t="shared" si="57"/>
        <v>1.0000000000000001E-5</v>
      </c>
      <c r="F116" s="77">
        <f t="shared" si="58"/>
        <v>7.1844637080367701E-4</v>
      </c>
      <c r="G116" s="56">
        <f t="shared" si="59"/>
        <v>50019201462181.344</v>
      </c>
      <c r="H116" s="56" t="str">
        <f t="shared" ca="1" si="60"/>
        <v/>
      </c>
      <c r="I116" s="56">
        <f t="shared" si="61"/>
        <v>2280000000000</v>
      </c>
      <c r="J116" s="56">
        <f t="shared" si="62"/>
        <v>50019201462181.344</v>
      </c>
      <c r="K116" s="51">
        <f t="shared" si="69"/>
        <v>-1.4290137792100236E+16</v>
      </c>
      <c r="L116" s="56">
        <f t="shared" si="70"/>
        <v>3.5002602626989766E-3</v>
      </c>
      <c r="M116" s="38" t="str">
        <f t="shared" ca="1" si="72"/>
        <v/>
      </c>
      <c r="N116" s="41" t="str">
        <f t="shared" ca="1" si="55"/>
        <v/>
      </c>
      <c r="O116" s="57">
        <f t="shared" si="71"/>
        <v>285.68888817136724</v>
      </c>
      <c r="P116" s="38" t="str">
        <f t="shared" ca="1" si="73"/>
        <v/>
      </c>
      <c r="Q116" s="46" t="str">
        <f t="shared" si="63"/>
        <v/>
      </c>
      <c r="R116" s="46" t="str">
        <f t="shared" si="64"/>
        <v/>
      </c>
      <c r="S116" s="57">
        <f t="shared" ca="1" si="65"/>
        <v>194.89570019170952</v>
      </c>
      <c r="T116" s="51">
        <f t="shared" ca="1" si="66"/>
        <v>50019201462181.344</v>
      </c>
      <c r="U116" s="58">
        <f>IF(CouplingMode="AC",B116-(A$11-A$10)*SUM(B$9:B116)/0.21,B116)</f>
        <v>2.45586E-2</v>
      </c>
      <c r="V116" s="58" t="e">
        <f ca="1">IF(G116&gt;Traps,CalcImpliedV(SampleDoping,T116),0.1)</f>
        <v>#NAME?</v>
      </c>
      <c r="W116" s="37">
        <f t="shared" ca="1" si="67"/>
        <v>3.1377194000746407E-3</v>
      </c>
      <c r="X116" s="41" t="str">
        <f t="shared" si="68"/>
        <v/>
      </c>
    </row>
    <row r="117" spans="1:24" x14ac:dyDescent="0.2">
      <c r="A117" s="53">
        <v>1.0849900000000001E-2</v>
      </c>
      <c r="B117" s="53">
        <v>2.3898900000000001E-2</v>
      </c>
      <c r="C117" s="54">
        <v>-3.1562100000000001E-5</v>
      </c>
      <c r="D117" s="55">
        <f t="shared" si="56"/>
        <v>1.0000000000000001E-5</v>
      </c>
      <c r="E117" s="55">
        <f t="shared" si="57"/>
        <v>1.0000000000000001E-5</v>
      </c>
      <c r="F117" s="77">
        <f t="shared" si="58"/>
        <v>6.9913068852511806E-4</v>
      </c>
      <c r="G117" s="56">
        <f t="shared" si="59"/>
        <v>48672927777406.078</v>
      </c>
      <c r="H117" s="56" t="str">
        <f t="shared" ca="1" si="60"/>
        <v/>
      </c>
      <c r="I117" s="56">
        <f t="shared" si="61"/>
        <v>2280000000000</v>
      </c>
      <c r="J117" s="56">
        <f t="shared" si="62"/>
        <v>48672927777406.078</v>
      </c>
      <c r="K117" s="51">
        <f t="shared" si="69"/>
        <v>-1.3348970977259332E+16</v>
      </c>
      <c r="L117" s="56">
        <f t="shared" si="70"/>
        <v>3.6461932429340768E-3</v>
      </c>
      <c r="M117" s="38" t="str">
        <f t="shared" ca="1" si="72"/>
        <v/>
      </c>
      <c r="N117" s="41" t="str">
        <f t="shared" ca="1" si="55"/>
        <v/>
      </c>
      <c r="O117" s="57">
        <f t="shared" si="71"/>
        <v>274.25470737483738</v>
      </c>
      <c r="P117" s="38" t="str">
        <f t="shared" ca="1" si="73"/>
        <v/>
      </c>
      <c r="Q117" s="46" t="str">
        <f t="shared" si="63"/>
        <v/>
      </c>
      <c r="R117" s="46" t="str">
        <f t="shared" si="64"/>
        <v/>
      </c>
      <c r="S117" s="57">
        <f t="shared" ca="1" si="65"/>
        <v>194.10712654197505</v>
      </c>
      <c r="T117" s="51">
        <f t="shared" ca="1" si="66"/>
        <v>48672927777406.078</v>
      </c>
      <c r="U117" s="58">
        <f>IF(CouplingMode="AC",B117-(A$11-A$10)*SUM(B$9:B117)/0.21,B117)</f>
        <v>2.3898900000000001E-2</v>
      </c>
      <c r="V117" s="58" t="e">
        <f ca="1">IF(G117&gt;Traps,CalcImpliedV(SampleDoping,T117),0.1)</f>
        <v>#NAME?</v>
      </c>
      <c r="W117" s="37">
        <f t="shared" ca="1" si="67"/>
        <v>2.9310651734607259E-3</v>
      </c>
      <c r="X117" s="41" t="str">
        <f t="shared" si="68"/>
        <v/>
      </c>
    </row>
    <row r="118" spans="1:24" x14ac:dyDescent="0.2">
      <c r="A118" s="53">
        <v>1.09499E-2</v>
      </c>
      <c r="B118" s="53">
        <v>2.3230899999999999E-2</v>
      </c>
      <c r="C118" s="54">
        <v>-5.0582299999999997E-6</v>
      </c>
      <c r="D118" s="55">
        <f t="shared" si="56"/>
        <v>1.0000000000000001E-5</v>
      </c>
      <c r="E118" s="55">
        <f t="shared" si="57"/>
        <v>1.0000000000000001E-5</v>
      </c>
      <c r="F118" s="77">
        <f t="shared" si="58"/>
        <v>6.7957291881839965E-4</v>
      </c>
      <c r="G118" s="56">
        <f t="shared" si="59"/>
        <v>47309861570684.289</v>
      </c>
      <c r="H118" s="56" t="str">
        <f t="shared" ca="1" si="60"/>
        <v/>
      </c>
      <c r="I118" s="56">
        <f t="shared" si="61"/>
        <v>2280000000000</v>
      </c>
      <c r="J118" s="56">
        <f t="shared" si="62"/>
        <v>47309861570684.289</v>
      </c>
      <c r="K118" s="51">
        <f t="shared" si="69"/>
        <v>-1.212822820927158E+16</v>
      </c>
      <c r="L118" s="56">
        <f t="shared" si="70"/>
        <v>3.9008056868947813E-3</v>
      </c>
      <c r="M118" s="38" t="str">
        <f t="shared" ca="1" si="72"/>
        <v/>
      </c>
      <c r="N118" s="41" t="str">
        <f t="shared" ca="1" si="55"/>
        <v/>
      </c>
      <c r="O118" s="57">
        <f t="shared" si="71"/>
        <v>256.35358103336608</v>
      </c>
      <c r="P118" s="38" t="str">
        <f t="shared" ca="1" si="73"/>
        <v/>
      </c>
      <c r="Q118" s="46" t="str">
        <f t="shared" si="63"/>
        <v/>
      </c>
      <c r="R118" s="46" t="str">
        <f t="shared" si="64"/>
        <v/>
      </c>
      <c r="S118" s="57">
        <f t="shared" ca="1" si="65"/>
        <v>193.30871674936012</v>
      </c>
      <c r="T118" s="51">
        <f t="shared" ca="1" si="66"/>
        <v>47309861570684.289</v>
      </c>
      <c r="U118" s="58">
        <f>IF(CouplingMode="AC",B118-(A$11-A$10)*SUM(B$9:B118)/0.21,B118)</f>
        <v>2.3230899999999999E-2</v>
      </c>
      <c r="V118" s="58" t="e">
        <f ca="1">IF(G118&gt;Traps,CalcImpliedV(SampleDoping,T118),0.1)</f>
        <v>#NAME?</v>
      </c>
      <c r="W118" s="37">
        <f t="shared" ca="1" si="67"/>
        <v>2.663023792660783E-3</v>
      </c>
      <c r="X118" s="41" t="str">
        <f t="shared" si="68"/>
        <v/>
      </c>
    </row>
    <row r="119" spans="1:24" x14ac:dyDescent="0.2">
      <c r="A119" s="53">
        <v>1.10499E-2</v>
      </c>
      <c r="B119" s="53">
        <v>2.2715800000000001E-2</v>
      </c>
      <c r="C119" s="54">
        <v>-7.5191599999999997E-6</v>
      </c>
      <c r="D119" s="55">
        <f t="shared" si="56"/>
        <v>1.0000000000000001E-5</v>
      </c>
      <c r="E119" s="55">
        <f t="shared" si="57"/>
        <v>1.0000000000000001E-5</v>
      </c>
      <c r="F119" s="77">
        <f t="shared" si="58"/>
        <v>6.6449241100961787E-4</v>
      </c>
      <c r="G119" s="56">
        <f t="shared" si="59"/>
        <v>46258890782152.875</v>
      </c>
      <c r="H119" s="56" t="str">
        <f t="shared" ca="1" si="60"/>
        <v/>
      </c>
      <c r="I119" s="56">
        <f t="shared" si="61"/>
        <v>2280000000000</v>
      </c>
      <c r="J119" s="56">
        <f t="shared" si="62"/>
        <v>46258890782152.875</v>
      </c>
      <c r="K119" s="51">
        <f t="shared" si="69"/>
        <v>-1.1313005670872086E+16</v>
      </c>
      <c r="L119" s="56">
        <f t="shared" si="70"/>
        <v>4.0890009364405204E-3</v>
      </c>
      <c r="M119" s="38" t="str">
        <f t="shared" ca="1" si="72"/>
        <v/>
      </c>
      <c r="N119" s="41" t="str">
        <f t="shared" ca="1" si="55"/>
        <v/>
      </c>
      <c r="O119" s="57">
        <f t="shared" si="71"/>
        <v>244.55496356142004</v>
      </c>
      <c r="P119" s="38" t="str">
        <f t="shared" ca="1" si="73"/>
        <v/>
      </c>
      <c r="Q119" s="46" t="str">
        <f t="shared" si="63"/>
        <v/>
      </c>
      <c r="R119" s="46" t="str">
        <f t="shared" si="64"/>
        <v/>
      </c>
      <c r="S119" s="57">
        <f t="shared" ca="1" si="65"/>
        <v>192.69311541966843</v>
      </c>
      <c r="T119" s="51">
        <f t="shared" ca="1" si="66"/>
        <v>46258890782152.875</v>
      </c>
      <c r="U119" s="58">
        <f>IF(CouplingMode="AC",B119-(A$11-A$10)*SUM(B$9:B119)/0.21,B119)</f>
        <v>2.2715800000000001E-2</v>
      </c>
      <c r="V119" s="58" t="e">
        <f ca="1">IF(G119&gt;Traps,CalcImpliedV(SampleDoping,T119),0.1)</f>
        <v>#NAME?</v>
      </c>
      <c r="W119" s="37">
        <f t="shared" ca="1" si="67"/>
        <v>2.4840234491141835E-3</v>
      </c>
      <c r="X119" s="41" t="str">
        <f t="shared" si="68"/>
        <v/>
      </c>
    </row>
    <row r="120" spans="1:24" x14ac:dyDescent="0.2">
      <c r="A120" s="53">
        <v>1.1149900000000001E-2</v>
      </c>
      <c r="B120" s="53">
        <v>2.2178199999999999E-2</v>
      </c>
      <c r="C120" s="54">
        <v>3.0081800000000001E-6</v>
      </c>
      <c r="D120" s="55">
        <f t="shared" si="56"/>
        <v>2.7714551213570311E-4</v>
      </c>
      <c r="E120" s="55">
        <f t="shared" si="57"/>
        <v>2.7714551213570311E-4</v>
      </c>
      <c r="F120" s="77">
        <f t="shared" si="58"/>
        <v>6.4875376891765368E-4</v>
      </c>
      <c r="G120" s="56">
        <f t="shared" si="59"/>
        <v>45162105855172.148</v>
      </c>
      <c r="H120" s="56" t="str">
        <f t="shared" ca="1" si="60"/>
        <v/>
      </c>
      <c r="I120" s="56">
        <f t="shared" si="61"/>
        <v>63189176766940.312</v>
      </c>
      <c r="J120" s="56">
        <f t="shared" si="62"/>
        <v>45162105855172.148</v>
      </c>
      <c r="K120" s="51">
        <f t="shared" si="69"/>
        <v>-1.1121539013910228E+16</v>
      </c>
      <c r="L120" s="56">
        <f t="shared" si="70"/>
        <v>4.0607784407073336E-3</v>
      </c>
      <c r="M120" s="38" t="str">
        <f t="shared" ca="1" si="72"/>
        <v/>
      </c>
      <c r="N120" s="41" t="str">
        <f t="shared" ca="1" si="55"/>
        <v/>
      </c>
      <c r="O120" s="57">
        <f t="shared" si="71"/>
        <v>246.2548168462792</v>
      </c>
      <c r="P120" s="38" t="str">
        <f t="shared" ca="1" si="73"/>
        <v/>
      </c>
      <c r="Q120" s="46" t="str">
        <f t="shared" si="63"/>
        <v/>
      </c>
      <c r="R120" s="46" t="str">
        <f t="shared" si="64"/>
        <v/>
      </c>
      <c r="S120" s="57">
        <f t="shared" ca="1" si="65"/>
        <v>192.05067866804512</v>
      </c>
      <c r="T120" s="51">
        <f t="shared" ca="1" si="66"/>
        <v>45162105855172.148</v>
      </c>
      <c r="U120" s="58">
        <f>IF(CouplingMode="AC",B120-(A$11-A$10)*SUM(B$9:B120)/0.21,B120)</f>
        <v>2.2178199999999999E-2</v>
      </c>
      <c r="V120" s="58" t="e">
        <f ca="1">IF(G120&gt;Traps,CalcImpliedV(SampleDoping,T120),0.1)</f>
        <v>#NAME?</v>
      </c>
      <c r="W120" s="37">
        <f t="shared" ca="1" si="67"/>
        <v>2.4419826617714069E-3</v>
      </c>
      <c r="X120" s="41" t="str">
        <f t="shared" si="68"/>
        <v/>
      </c>
    </row>
    <row r="121" spans="1:24" x14ac:dyDescent="0.2">
      <c r="A121" s="53">
        <v>1.12499E-2</v>
      </c>
      <c r="B121" s="53">
        <v>2.16528E-2</v>
      </c>
      <c r="C121" s="54">
        <v>3.4378700000000002E-6</v>
      </c>
      <c r="D121" s="55">
        <f t="shared" si="56"/>
        <v>3.1673312162369596E-4</v>
      </c>
      <c r="E121" s="55">
        <f t="shared" si="57"/>
        <v>3.1673312162369596E-4</v>
      </c>
      <c r="F121" s="77">
        <f t="shared" si="58"/>
        <v>6.3337287808382103E-4</v>
      </c>
      <c r="G121" s="56">
        <f t="shared" si="59"/>
        <v>44090302799726.109</v>
      </c>
      <c r="H121" s="56" t="str">
        <f t="shared" ca="1" si="60"/>
        <v/>
      </c>
      <c r="I121" s="56">
        <f t="shared" si="61"/>
        <v>72215151730202.687</v>
      </c>
      <c r="J121" s="56">
        <f t="shared" si="62"/>
        <v>44090302799726.109</v>
      </c>
      <c r="K121" s="51">
        <f t="shared" si="69"/>
        <v>-1.1555850358342998E+16</v>
      </c>
      <c r="L121" s="56">
        <f t="shared" si="70"/>
        <v>3.8154096351632103E-3</v>
      </c>
      <c r="M121" s="38" t="str">
        <f t="shared" ca="1" si="72"/>
        <v/>
      </c>
      <c r="N121" s="41" t="str">
        <f t="shared" ca="1" si="55"/>
        <v/>
      </c>
      <c r="O121" s="57">
        <f t="shared" si="71"/>
        <v>262.09182851318837</v>
      </c>
      <c r="P121" s="38" t="str">
        <f t="shared" ca="1" si="73"/>
        <v/>
      </c>
      <c r="Q121" s="46" t="str">
        <f t="shared" si="63"/>
        <v/>
      </c>
      <c r="R121" s="46" t="str">
        <f t="shared" si="64"/>
        <v/>
      </c>
      <c r="S121" s="57">
        <f t="shared" ca="1" si="65"/>
        <v>191.42287493334555</v>
      </c>
      <c r="T121" s="51">
        <f t="shared" ca="1" si="66"/>
        <v>44090302799726.109</v>
      </c>
      <c r="U121" s="58">
        <f>IF(CouplingMode="AC",B121-(A$11-A$10)*SUM(B$9:B121)/0.21,B121)</f>
        <v>2.16528E-2</v>
      </c>
      <c r="V121" s="58" t="e">
        <f ca="1">IF(G121&gt;Traps,CalcImpliedV(SampleDoping,T121),0.1)</f>
        <v>#NAME?</v>
      </c>
      <c r="W121" s="37">
        <f t="shared" ca="1" si="67"/>
        <v>2.5373454323006422E-3</v>
      </c>
      <c r="X121" s="41" t="str">
        <f t="shared" si="68"/>
        <v/>
      </c>
    </row>
    <row r="122" spans="1:24" x14ac:dyDescent="0.2">
      <c r="A122" s="53">
        <v>1.13499E-2</v>
      </c>
      <c r="B122" s="53">
        <v>2.1036599999999999E-2</v>
      </c>
      <c r="C122" s="54">
        <v>-3.4176000000000001E-6</v>
      </c>
      <c r="D122" s="55">
        <f t="shared" si="56"/>
        <v>1.0000000000000001E-5</v>
      </c>
      <c r="E122" s="55">
        <f t="shared" si="57"/>
        <v>1.0000000000000001E-5</v>
      </c>
      <c r="F122" s="77">
        <f t="shared" si="58"/>
        <v>6.1533459032432625E-4</v>
      </c>
      <c r="G122" s="56">
        <f t="shared" si="59"/>
        <v>42833386054942.562</v>
      </c>
      <c r="H122" s="56" t="str">
        <f t="shared" ca="1" si="60"/>
        <v/>
      </c>
      <c r="I122" s="56">
        <f t="shared" si="61"/>
        <v>2280000000000</v>
      </c>
      <c r="J122" s="56">
        <f t="shared" si="62"/>
        <v>42833386054942.562</v>
      </c>
      <c r="K122" s="51">
        <f t="shared" si="69"/>
        <v>-1.1784690380156644E+16</v>
      </c>
      <c r="L122" s="56">
        <f t="shared" si="70"/>
        <v>3.6346636757692411E-3</v>
      </c>
      <c r="M122" s="38" t="str">
        <f t="shared" ca="1" si="72"/>
        <v/>
      </c>
      <c r="N122" s="41" t="str">
        <f t="shared" ca="1" si="55"/>
        <v/>
      </c>
      <c r="O122" s="57">
        <f t="shared" si="71"/>
        <v>275.12557404796775</v>
      </c>
      <c r="P122" s="38" t="str">
        <f t="shared" ca="1" si="73"/>
        <v/>
      </c>
      <c r="Q122" s="46" t="str">
        <f t="shared" si="63"/>
        <v/>
      </c>
      <c r="R122" s="46" t="str">
        <f t="shared" si="64"/>
        <v/>
      </c>
      <c r="S122" s="57">
        <f t="shared" ca="1" si="65"/>
        <v>190.68664170227575</v>
      </c>
      <c r="T122" s="51">
        <f t="shared" ca="1" si="66"/>
        <v>42833386054942.562</v>
      </c>
      <c r="U122" s="58">
        <f>IF(CouplingMode="AC",B122-(A$11-A$10)*SUM(B$9:B122)/0.21,B122)</f>
        <v>2.1036599999999999E-2</v>
      </c>
      <c r="V122" s="58" t="e">
        <f ca="1">IF(G122&gt;Traps,CalcImpliedV(SampleDoping,T122),0.1)</f>
        <v>#NAME?</v>
      </c>
      <c r="W122" s="37">
        <f t="shared" ca="1" si="67"/>
        <v>2.5875923778797896E-3</v>
      </c>
      <c r="X122" s="41" t="str">
        <f t="shared" si="68"/>
        <v/>
      </c>
    </row>
    <row r="123" spans="1:24" x14ac:dyDescent="0.2">
      <c r="A123" s="53">
        <v>1.1449900000000001E-2</v>
      </c>
      <c r="B123" s="53">
        <v>2.0454099999999999E-2</v>
      </c>
      <c r="C123" s="54">
        <v>7.5980199999999996E-6</v>
      </c>
      <c r="D123" s="55">
        <f t="shared" si="56"/>
        <v>7.0001035314286872E-4</v>
      </c>
      <c r="E123" s="55">
        <f t="shared" si="57"/>
        <v>7.0001035314286872E-4</v>
      </c>
      <c r="F123" s="77">
        <f t="shared" si="58"/>
        <v>5.98283551206516E-4</v>
      </c>
      <c r="G123" s="56">
        <f t="shared" si="59"/>
        <v>41645325503096.164</v>
      </c>
      <c r="H123" s="56" t="str">
        <f t="shared" ca="1" si="60"/>
        <v/>
      </c>
      <c r="I123" s="56">
        <f t="shared" si="61"/>
        <v>159602360516574.06</v>
      </c>
      <c r="J123" s="56">
        <f t="shared" si="62"/>
        <v>41645325503096.164</v>
      </c>
      <c r="K123" s="51">
        <f t="shared" si="69"/>
        <v>-1.1932905236205784E+16</v>
      </c>
      <c r="L123" s="56">
        <f t="shared" si="70"/>
        <v>3.4899569449977309E-3</v>
      </c>
      <c r="M123" s="38" t="str">
        <f t="shared" ca="1" si="72"/>
        <v/>
      </c>
      <c r="N123" s="41" t="str">
        <f t="shared" ca="1" si="55"/>
        <v/>
      </c>
      <c r="O123" s="57">
        <f t="shared" si="71"/>
        <v>286.53360720443322</v>
      </c>
      <c r="P123" s="38" t="str">
        <f t="shared" ca="1" si="73"/>
        <v/>
      </c>
      <c r="Q123" s="46" t="str">
        <f t="shared" si="63"/>
        <v/>
      </c>
      <c r="R123" s="46" t="str">
        <f t="shared" si="64"/>
        <v/>
      </c>
      <c r="S123" s="57">
        <f t="shared" ca="1" si="65"/>
        <v>189.99074067110357</v>
      </c>
      <c r="T123" s="51">
        <f t="shared" ca="1" si="66"/>
        <v>41645325503096.164</v>
      </c>
      <c r="U123" s="58">
        <f>IF(CouplingMode="AC",B123-(A$11-A$10)*SUM(B$9:B123)/0.21,B123)</f>
        <v>2.0454099999999999E-2</v>
      </c>
      <c r="V123" s="58" t="e">
        <f ca="1">IF(G123&gt;Traps,CalcImpliedV(SampleDoping,T123),0.1)</f>
        <v>#NAME?</v>
      </c>
      <c r="W123" s="37">
        <f t="shared" ca="1" si="67"/>
        <v>2.6201362648576852E-3</v>
      </c>
      <c r="X123" s="41" t="str">
        <f t="shared" si="68"/>
        <v/>
      </c>
    </row>
    <row r="124" spans="1:24" x14ac:dyDescent="0.2">
      <c r="A124" s="53">
        <v>1.15499E-2</v>
      </c>
      <c r="B124" s="53">
        <v>1.9888699999999999E-2</v>
      </c>
      <c r="C124" s="54">
        <v>-3.90258E-7</v>
      </c>
      <c r="D124" s="55">
        <f t="shared" si="56"/>
        <v>1.0000000000000001E-5</v>
      </c>
      <c r="E124" s="55">
        <f t="shared" si="57"/>
        <v>1.0000000000000001E-5</v>
      </c>
      <c r="F124" s="77">
        <f t="shared" si="58"/>
        <v>5.8173374849500303E-4</v>
      </c>
      <c r="G124" s="56">
        <f t="shared" si="59"/>
        <v>40492249313408.805</v>
      </c>
      <c r="H124" s="56" t="str">
        <f t="shared" ca="1" si="60"/>
        <v/>
      </c>
      <c r="I124" s="56">
        <f t="shared" si="61"/>
        <v>2280000000000</v>
      </c>
      <c r="J124" s="56">
        <f t="shared" si="62"/>
        <v>40492249313408.805</v>
      </c>
      <c r="K124" s="51">
        <f t="shared" si="69"/>
        <v>-1.1651373821022894E+16</v>
      </c>
      <c r="L124" s="56">
        <f t="shared" si="70"/>
        <v>3.4753197292792656E-3</v>
      </c>
      <c r="M124" s="38" t="str">
        <f t="shared" ca="1" si="72"/>
        <v/>
      </c>
      <c r="N124" s="41" t="str">
        <f t="shared" ca="1" si="55"/>
        <v/>
      </c>
      <c r="O124" s="57">
        <f t="shared" si="71"/>
        <v>287.74058759082271</v>
      </c>
      <c r="P124" s="38" t="str">
        <f t="shared" ca="1" si="73"/>
        <v/>
      </c>
      <c r="Q124" s="46" t="str">
        <f t="shared" si="63"/>
        <v/>
      </c>
      <c r="R124" s="46" t="str">
        <f t="shared" si="64"/>
        <v/>
      </c>
      <c r="S124" s="57">
        <f t="shared" ca="1" si="65"/>
        <v>189.31533156996267</v>
      </c>
      <c r="T124" s="51">
        <f t="shared" ca="1" si="66"/>
        <v>40492249313408.805</v>
      </c>
      <c r="U124" s="58">
        <f>IF(CouplingMode="AC",B124-(A$11-A$10)*SUM(B$9:B124)/0.21,B124)</f>
        <v>1.9888699999999999E-2</v>
      </c>
      <c r="V124" s="58" t="e">
        <f ca="1">IF(G124&gt;Traps,CalcImpliedV(SampleDoping,T124),0.1)</f>
        <v>#NAME?</v>
      </c>
      <c r="W124" s="37">
        <f t="shared" ca="1" si="67"/>
        <v>2.5583197452410467E-3</v>
      </c>
      <c r="X124" s="41" t="str">
        <f t="shared" si="68"/>
        <v/>
      </c>
    </row>
    <row r="125" spans="1:24" x14ac:dyDescent="0.2">
      <c r="A125" s="53">
        <v>1.1649899999999999E-2</v>
      </c>
      <c r="B125" s="53">
        <v>1.93013E-2</v>
      </c>
      <c r="C125" s="54">
        <v>-6.15198E-6</v>
      </c>
      <c r="D125" s="55">
        <f t="shared" si="56"/>
        <v>1.0000000000000001E-5</v>
      </c>
      <c r="E125" s="55">
        <f t="shared" si="57"/>
        <v>1.0000000000000001E-5</v>
      </c>
      <c r="F125" s="77">
        <f t="shared" si="58"/>
        <v>5.6454069645942018E-4</v>
      </c>
      <c r="G125" s="56">
        <f t="shared" si="59"/>
        <v>39294418552390.102</v>
      </c>
      <c r="H125" s="56" t="str">
        <f t="shared" ca="1" si="60"/>
        <v/>
      </c>
      <c r="I125" s="56">
        <f t="shared" si="61"/>
        <v>2280000000000</v>
      </c>
      <c r="J125" s="56">
        <f t="shared" si="62"/>
        <v>39294418552390.102</v>
      </c>
      <c r="K125" s="51">
        <f t="shared" si="69"/>
        <v>-1.129593851455242E+16</v>
      </c>
      <c r="L125" s="56">
        <f t="shared" si="70"/>
        <v>3.4786324750057359E-3</v>
      </c>
      <c r="M125" s="38" t="str">
        <f t="shared" ca="1" si="72"/>
        <v/>
      </c>
      <c r="N125" s="41" t="str">
        <f t="shared" ca="1" si="55"/>
        <v/>
      </c>
      <c r="O125" s="57">
        <f t="shared" si="71"/>
        <v>287.46672464378963</v>
      </c>
      <c r="P125" s="38" t="str">
        <f t="shared" ca="1" si="73"/>
        <v/>
      </c>
      <c r="Q125" s="46" t="str">
        <f t="shared" si="63"/>
        <v/>
      </c>
      <c r="R125" s="46" t="str">
        <f t="shared" si="64"/>
        <v/>
      </c>
      <c r="S125" s="57">
        <f t="shared" ca="1" si="65"/>
        <v>188.61370768348044</v>
      </c>
      <c r="T125" s="51">
        <f t="shared" ca="1" si="66"/>
        <v>39294418552390.102</v>
      </c>
      <c r="U125" s="58">
        <f>IF(CouplingMode="AC",B125-(A$11-A$10)*SUM(B$9:B125)/0.21,B125)</f>
        <v>1.93013E-2</v>
      </c>
      <c r="V125" s="58" t="e">
        <f ca="1">IF(G125&gt;Traps,CalcImpliedV(SampleDoping,T125),0.1)</f>
        <v>#NAME?</v>
      </c>
      <c r="W125" s="37">
        <f t="shared" ca="1" si="67"/>
        <v>2.4802759731788622E-3</v>
      </c>
      <c r="X125" s="41" t="str">
        <f t="shared" si="68"/>
        <v/>
      </c>
    </row>
    <row r="126" spans="1:24" x14ac:dyDescent="0.2">
      <c r="A126" s="53">
        <v>1.1749900000000001E-2</v>
      </c>
      <c r="B126" s="53">
        <v>1.87563E-2</v>
      </c>
      <c r="C126" s="54">
        <v>-1.99606E-5</v>
      </c>
      <c r="D126" s="55">
        <f t="shared" si="56"/>
        <v>1.0000000000000001E-5</v>
      </c>
      <c r="E126" s="55">
        <f t="shared" si="57"/>
        <v>1.0000000000000001E-5</v>
      </c>
      <c r="F126" s="77">
        <f t="shared" si="58"/>
        <v>5.4858933068605009E-4</v>
      </c>
      <c r="G126" s="56">
        <f t="shared" si="59"/>
        <v>38183152619784.141</v>
      </c>
      <c r="H126" s="56" t="str">
        <f t="shared" ca="1" si="60"/>
        <v/>
      </c>
      <c r="I126" s="56">
        <f t="shared" si="61"/>
        <v>2280000000000</v>
      </c>
      <c r="J126" s="56">
        <f t="shared" si="62"/>
        <v>38183152619784.141</v>
      </c>
      <c r="K126" s="51">
        <f t="shared" si="69"/>
        <v>-1.1260219733672756E+16</v>
      </c>
      <c r="L126" s="56">
        <f t="shared" si="70"/>
        <v>3.3909775761835786E-3</v>
      </c>
      <c r="M126" s="38" t="str">
        <f t="shared" ca="1" si="72"/>
        <v/>
      </c>
      <c r="N126" s="41" t="str">
        <f t="shared" ca="1" si="55"/>
        <v/>
      </c>
      <c r="O126" s="57">
        <f t="shared" si="71"/>
        <v>294.89778999777394</v>
      </c>
      <c r="P126" s="38" t="str">
        <f t="shared" ca="1" si="73"/>
        <v/>
      </c>
      <c r="Q126" s="46" t="str">
        <f t="shared" si="63"/>
        <v/>
      </c>
      <c r="R126" s="46" t="str">
        <f t="shared" si="64"/>
        <v/>
      </c>
      <c r="S126" s="57">
        <f t="shared" ca="1" si="65"/>
        <v>187.96278874908342</v>
      </c>
      <c r="T126" s="51">
        <f t="shared" ca="1" si="66"/>
        <v>38183152619784.141</v>
      </c>
      <c r="U126" s="58">
        <f>IF(CouplingMode="AC",B126-(A$11-A$10)*SUM(B$9:B126)/0.21,B126)</f>
        <v>1.87563E-2</v>
      </c>
      <c r="V126" s="58" t="e">
        <f ca="1">IF(G126&gt;Traps,CalcImpliedV(SampleDoping,T126),0.1)</f>
        <v>#NAME?</v>
      </c>
      <c r="W126" s="37">
        <f t="shared" ca="1" si="67"/>
        <v>2.4724331158640016E-3</v>
      </c>
      <c r="X126" s="41" t="str">
        <f t="shared" si="68"/>
        <v/>
      </c>
    </row>
    <row r="127" spans="1:24" x14ac:dyDescent="0.2">
      <c r="A127" s="53">
        <v>1.18499E-2</v>
      </c>
      <c r="B127" s="53">
        <v>1.8250499999999999E-2</v>
      </c>
      <c r="C127" s="54">
        <v>-3.5780900000000002E-5</v>
      </c>
      <c r="D127" s="55">
        <f t="shared" si="56"/>
        <v>1.0000000000000001E-5</v>
      </c>
      <c r="E127" s="55">
        <f t="shared" si="57"/>
        <v>1.0000000000000001E-5</v>
      </c>
      <c r="F127" s="77">
        <f t="shared" si="58"/>
        <v>5.3378585124909395E-4</v>
      </c>
      <c r="G127" s="56">
        <f t="shared" si="59"/>
        <v>37151904592632.289</v>
      </c>
      <c r="H127" s="56" t="str">
        <f t="shared" ca="1" si="60"/>
        <v/>
      </c>
      <c r="I127" s="56">
        <f t="shared" si="61"/>
        <v>2280000000000</v>
      </c>
      <c r="J127" s="56">
        <f t="shared" si="62"/>
        <v>37151904592632.289</v>
      </c>
      <c r="K127" s="51">
        <f t="shared" si="69"/>
        <v>-1.1219417829173294E+16</v>
      </c>
      <c r="L127" s="56">
        <f t="shared" si="70"/>
        <v>3.311393261068149E-3</v>
      </c>
      <c r="M127" s="38" t="str">
        <f t="shared" ca="1" si="72"/>
        <v/>
      </c>
      <c r="N127" s="41" t="str">
        <f t="shared" ca="1" si="55"/>
        <v/>
      </c>
      <c r="O127" s="57">
        <f t="shared" si="71"/>
        <v>301.98539828111069</v>
      </c>
      <c r="P127" s="38" t="str">
        <f t="shared" ca="1" si="73"/>
        <v/>
      </c>
      <c r="Q127" s="46" t="str">
        <f t="shared" si="63"/>
        <v/>
      </c>
      <c r="R127" s="46" t="str">
        <f t="shared" si="64"/>
        <v/>
      </c>
      <c r="S127" s="57">
        <f t="shared" ca="1" si="65"/>
        <v>187.35873993661005</v>
      </c>
      <c r="T127" s="51">
        <f t="shared" ca="1" si="66"/>
        <v>37151904592632.289</v>
      </c>
      <c r="U127" s="58">
        <f>IF(CouplingMode="AC",B127-(A$11-A$10)*SUM(B$9:B127)/0.21,B127)</f>
        <v>1.8250499999999999E-2</v>
      </c>
      <c r="V127" s="58" t="e">
        <f ca="1">IF(G127&gt;Traps,CalcImpliedV(SampleDoping,T127),0.1)</f>
        <v>#NAME?</v>
      </c>
      <c r="W127" s="37">
        <f t="shared" ca="1" si="67"/>
        <v>2.4634741450569654E-3</v>
      </c>
      <c r="X127" s="41" t="str">
        <f t="shared" si="68"/>
        <v/>
      </c>
    </row>
    <row r="128" spans="1:24" x14ac:dyDescent="0.2">
      <c r="A128" s="53">
        <v>1.1949899999999999E-2</v>
      </c>
      <c r="B128" s="53">
        <v>1.76528E-2</v>
      </c>
      <c r="C128" s="54">
        <v>-3.8808199999999999E-5</v>
      </c>
      <c r="D128" s="55">
        <f t="shared" si="56"/>
        <v>1.0000000000000001E-5</v>
      </c>
      <c r="E128" s="55">
        <f t="shared" si="57"/>
        <v>1.0000000000000001E-5</v>
      </c>
      <c r="F128" s="77">
        <f t="shared" si="58"/>
        <v>5.1629338594706697E-4</v>
      </c>
      <c r="G128" s="56">
        <f t="shared" si="59"/>
        <v>35933396426451.336</v>
      </c>
      <c r="H128" s="56" t="str">
        <f t="shared" ca="1" si="60"/>
        <v/>
      </c>
      <c r="I128" s="56">
        <f t="shared" si="61"/>
        <v>2280000000000</v>
      </c>
      <c r="J128" s="56">
        <f t="shared" si="62"/>
        <v>35933396426451.336</v>
      </c>
      <c r="K128" s="51">
        <f t="shared" si="69"/>
        <v>-1.0572118873870368E+16</v>
      </c>
      <c r="L128" s="56">
        <f t="shared" si="70"/>
        <v>3.3988831241070229E-3</v>
      </c>
      <c r="M128" s="38" t="str">
        <f t="shared" ca="1" si="72"/>
        <v/>
      </c>
      <c r="N128" s="41" t="str">
        <f t="shared" ca="1" si="55"/>
        <v/>
      </c>
      <c r="O128" s="57">
        <f t="shared" si="71"/>
        <v>294.21215096155095</v>
      </c>
      <c r="P128" s="38" t="str">
        <f t="shared" ca="1" si="73"/>
        <v/>
      </c>
      <c r="Q128" s="46" t="str">
        <f t="shared" si="63"/>
        <v/>
      </c>
      <c r="R128" s="46" t="str">
        <f t="shared" si="64"/>
        <v/>
      </c>
      <c r="S128" s="57">
        <f t="shared" ca="1" si="65"/>
        <v>186.64500435468267</v>
      </c>
      <c r="T128" s="51">
        <f t="shared" ca="1" si="66"/>
        <v>35933396426451.336</v>
      </c>
      <c r="U128" s="58">
        <f>IF(CouplingMode="AC",B128-(A$11-A$10)*SUM(B$9:B128)/0.21,B128)</f>
        <v>1.76528E-2</v>
      </c>
      <c r="V128" s="58" t="e">
        <f ca="1">IF(G128&gt;Traps,CalcImpliedV(SampleDoping,T128),0.1)</f>
        <v>#NAME?</v>
      </c>
      <c r="W128" s="37">
        <f t="shared" ca="1" si="67"/>
        <v>2.3213451803646284E-3</v>
      </c>
      <c r="X128" s="41" t="str">
        <f t="shared" si="68"/>
        <v/>
      </c>
    </row>
    <row r="129" spans="1:26" x14ac:dyDescent="0.2">
      <c r="A129" s="53">
        <v>1.2049900000000001E-2</v>
      </c>
      <c r="B129" s="53">
        <v>1.7101499999999999E-2</v>
      </c>
      <c r="C129" s="54">
        <v>-3.4941000000000003E-5</v>
      </c>
      <c r="D129" s="55">
        <f t="shared" si="56"/>
        <v>1.0000000000000001E-5</v>
      </c>
      <c r="E129" s="55">
        <f t="shared" si="57"/>
        <v>1.0000000000000001E-5</v>
      </c>
      <c r="F129" s="77">
        <f t="shared" si="58"/>
        <v>5.0015954271254159E-4</v>
      </c>
      <c r="G129" s="56">
        <f t="shared" si="59"/>
        <v>34809587734469.852</v>
      </c>
      <c r="H129" s="56" t="str">
        <f t="shared" ca="1" si="60"/>
        <v/>
      </c>
      <c r="I129" s="56">
        <f t="shared" si="61"/>
        <v>2280000000000</v>
      </c>
      <c r="J129" s="56">
        <f t="shared" si="62"/>
        <v>34809587734469.852</v>
      </c>
      <c r="K129" s="51">
        <f t="shared" si="69"/>
        <v>-9230916933791064</v>
      </c>
      <c r="L129" s="56">
        <f t="shared" si="70"/>
        <v>3.7709783312039652E-3</v>
      </c>
      <c r="M129" s="38" t="str">
        <f t="shared" ca="1" si="72"/>
        <v/>
      </c>
      <c r="N129" s="41" t="str">
        <f t="shared" ca="1" si="55"/>
        <v/>
      </c>
      <c r="O129" s="57">
        <f t="shared" si="71"/>
        <v>265.18116178239677</v>
      </c>
      <c r="P129" s="38" t="str">
        <f t="shared" ca="1" si="73"/>
        <v/>
      </c>
      <c r="Q129" s="46" t="str">
        <f t="shared" si="63"/>
        <v/>
      </c>
      <c r="R129" s="46" t="str">
        <f t="shared" si="64"/>
        <v/>
      </c>
      <c r="S129" s="57">
        <f t="shared" ca="1" si="65"/>
        <v>185.98673855638242</v>
      </c>
      <c r="T129" s="51">
        <f t="shared" ca="1" si="66"/>
        <v>34809587734469.852</v>
      </c>
      <c r="U129" s="58">
        <f>IF(CouplingMode="AC",B129-(A$11-A$10)*SUM(B$9:B129)/0.21,B129)</f>
        <v>1.7101499999999999E-2</v>
      </c>
      <c r="V129" s="58" t="e">
        <f ca="1">IF(G129&gt;Traps,CalcImpliedV(SampleDoping,T129),0.1)</f>
        <v>#NAME?</v>
      </c>
      <c r="W129" s="37">
        <f t="shared" ca="1" si="67"/>
        <v>2.0268542938505054E-3</v>
      </c>
      <c r="X129" s="41" t="str">
        <f t="shared" si="68"/>
        <v/>
      </c>
    </row>
    <row r="130" spans="1:26" x14ac:dyDescent="0.2">
      <c r="A130" s="53">
        <v>1.21499E-2</v>
      </c>
      <c r="B130" s="53">
        <v>1.6737800000000001E-2</v>
      </c>
      <c r="C130" s="54">
        <v>-3.6015300000000001E-5</v>
      </c>
      <c r="D130" s="55">
        <f t="shared" si="56"/>
        <v>1.0000000000000001E-5</v>
      </c>
      <c r="E130" s="55">
        <f t="shared" si="57"/>
        <v>1.0000000000000001E-5</v>
      </c>
      <c r="F130" s="77">
        <f t="shared" si="58"/>
        <v>4.8951617990838914E-4</v>
      </c>
      <c r="G130" s="56">
        <f t="shared" si="59"/>
        <v>34068251611930.18</v>
      </c>
      <c r="H130" s="56" t="str">
        <f t="shared" ca="1" si="60"/>
        <v/>
      </c>
      <c r="I130" s="56">
        <f t="shared" si="61"/>
        <v>2280000000000</v>
      </c>
      <c r="J130" s="56">
        <f t="shared" si="62"/>
        <v>34068251611930.18</v>
      </c>
      <c r="K130" s="51">
        <f t="shared" si="69"/>
        <v>-8993785906909438</v>
      </c>
      <c r="L130" s="56">
        <f t="shared" si="70"/>
        <v>3.7879767168748578E-3</v>
      </c>
      <c r="M130" s="38" t="str">
        <f t="shared" ca="1" si="72"/>
        <v/>
      </c>
      <c r="N130" s="41" t="str">
        <f t="shared" ca="1" si="55"/>
        <v/>
      </c>
      <c r="O130" s="57">
        <f t="shared" si="71"/>
        <v>263.99124824516576</v>
      </c>
      <c r="P130" s="38" t="str">
        <f t="shared" ca="1" si="73"/>
        <v/>
      </c>
      <c r="Q130" s="46" t="str">
        <f t="shared" si="63"/>
        <v/>
      </c>
      <c r="R130" s="46" t="str">
        <f t="shared" si="64"/>
        <v/>
      </c>
      <c r="S130" s="57">
        <f t="shared" ca="1" si="65"/>
        <v>185.55250431527512</v>
      </c>
      <c r="T130" s="51">
        <f t="shared" ca="1" si="66"/>
        <v>34068251611930.18</v>
      </c>
      <c r="U130" s="58">
        <f>IF(CouplingMode="AC",B130-(A$11-A$10)*SUM(B$9:B130)/0.21,B130)</f>
        <v>1.6737800000000001E-2</v>
      </c>
      <c r="V130" s="58" t="e">
        <f ca="1">IF(G130&gt;Traps,CalcImpliedV(SampleDoping,T130),0.1)</f>
        <v>#NAME?</v>
      </c>
      <c r="W130" s="37">
        <f t="shared" ca="1" si="67"/>
        <v>1.9747868726519902E-3</v>
      </c>
      <c r="X130" s="41" t="str">
        <f t="shared" si="68"/>
        <v/>
      </c>
    </row>
    <row r="131" spans="1:26" x14ac:dyDescent="0.2">
      <c r="A131" s="53">
        <v>1.2249899999999999E-2</v>
      </c>
      <c r="B131" s="53">
        <v>1.6443800000000001E-2</v>
      </c>
      <c r="C131" s="54">
        <v>-5.4296499999999998E-5</v>
      </c>
      <c r="D131" s="55">
        <f t="shared" si="56"/>
        <v>1.0000000000000001E-5</v>
      </c>
      <c r="E131" s="55">
        <f t="shared" si="57"/>
        <v>1.0000000000000001E-5</v>
      </c>
      <c r="F131" s="77">
        <f t="shared" si="58"/>
        <v>4.8091272999767343E-4</v>
      </c>
      <c r="G131" s="56">
        <f t="shared" si="59"/>
        <v>33469018532997.34</v>
      </c>
      <c r="H131" s="56" t="str">
        <f t="shared" ca="1" si="60"/>
        <v/>
      </c>
      <c r="I131" s="56">
        <f t="shared" si="61"/>
        <v>2280000000000</v>
      </c>
      <c r="J131" s="56">
        <f t="shared" si="62"/>
        <v>33469018532997.34</v>
      </c>
      <c r="K131" s="51">
        <f t="shared" si="69"/>
        <v>-9156305065548358</v>
      </c>
      <c r="L131" s="56">
        <f t="shared" si="70"/>
        <v>3.6552974473216646E-3</v>
      </c>
      <c r="M131" s="38" t="str">
        <f t="shared" ca="1" si="72"/>
        <v/>
      </c>
      <c r="N131" s="41" t="str">
        <f t="shared" ca="1" si="55"/>
        <v/>
      </c>
      <c r="O131" s="57">
        <f t="shared" si="71"/>
        <v>273.57368789251916</v>
      </c>
      <c r="P131" s="38" t="str">
        <f t="shared" ca="1" si="73"/>
        <v/>
      </c>
      <c r="Q131" s="46" t="str">
        <f t="shared" si="63"/>
        <v/>
      </c>
      <c r="R131" s="46" t="str">
        <f t="shared" si="64"/>
        <v/>
      </c>
      <c r="S131" s="57">
        <f t="shared" ca="1" si="65"/>
        <v>185.20150628163637</v>
      </c>
      <c r="T131" s="51">
        <f t="shared" ca="1" si="66"/>
        <v>33469018532997.34</v>
      </c>
      <c r="U131" s="58">
        <f>IF(CouplingMode="AC",B131-(A$11-A$10)*SUM(B$9:B131)/0.21,B131)</f>
        <v>1.6443800000000001E-2</v>
      </c>
      <c r="V131" s="58" t="e">
        <f ca="1">IF(G131&gt;Traps,CalcImpliedV(SampleDoping,T131),0.1)</f>
        <v>#NAME?</v>
      </c>
      <c r="W131" s="37">
        <f t="shared" ca="1" si="67"/>
        <v>2.0104715892281348E-3</v>
      </c>
      <c r="X131" s="41" t="str">
        <f t="shared" si="68"/>
        <v/>
      </c>
    </row>
    <row r="132" spans="1:26" x14ac:dyDescent="0.2">
      <c r="A132" s="53">
        <v>1.23499E-2</v>
      </c>
      <c r="B132" s="53">
        <v>1.5775399999999998E-2</v>
      </c>
      <c r="C132" s="54">
        <v>-2.9550400000000001E-5</v>
      </c>
      <c r="D132" s="55">
        <f t="shared" si="56"/>
        <v>1.0000000000000001E-5</v>
      </c>
      <c r="E132" s="55">
        <f t="shared" si="57"/>
        <v>1.0000000000000001E-5</v>
      </c>
      <c r="F132" s="77">
        <f t="shared" si="58"/>
        <v>4.6135372624361848E-4</v>
      </c>
      <c r="G132" s="56">
        <f t="shared" si="59"/>
        <v>32106788073732.871</v>
      </c>
      <c r="H132" s="56" t="str">
        <f t="shared" ca="1" si="60"/>
        <v/>
      </c>
      <c r="I132" s="56">
        <f t="shared" si="61"/>
        <v>2280000000000</v>
      </c>
      <c r="J132" s="56">
        <f t="shared" si="62"/>
        <v>32106788073732.871</v>
      </c>
      <c r="K132" s="51"/>
      <c r="L132" s="56"/>
      <c r="M132" s="38" t="str">
        <f t="shared" ca="1" si="72"/>
        <v/>
      </c>
      <c r="N132" s="41" t="str">
        <f t="shared" ca="1" si="55"/>
        <v/>
      </c>
      <c r="O132" s="38"/>
      <c r="P132" s="38" t="str">
        <f t="shared" ca="1" si="73"/>
        <v/>
      </c>
      <c r="Q132" s="46" t="str">
        <f t="shared" si="63"/>
        <v/>
      </c>
      <c r="R132" s="46" t="str">
        <f t="shared" si="64"/>
        <v/>
      </c>
      <c r="S132" s="57">
        <f t="shared" ca="1" si="65"/>
        <v>184.40358602426986</v>
      </c>
      <c r="T132" s="51">
        <f t="shared" ca="1" si="66"/>
        <v>32106788073732.871</v>
      </c>
      <c r="U132" s="58">
        <f>IF(CouplingMode="AC",B132-(A$11-A$10)*SUM(B$9:B132)/0.21,B132)</f>
        <v>1.5775399999999998E-2</v>
      </c>
      <c r="V132" s="58" t="e">
        <f ca="1">IF(G132&gt;Traps,CalcImpliedV(SampleDoping,T132),0.1)</f>
        <v>#NAME?</v>
      </c>
      <c r="W132" s="37" t="str">
        <f t="shared" si="67"/>
        <v/>
      </c>
      <c r="X132" s="41" t="str">
        <f t="shared" si="68"/>
        <v/>
      </c>
    </row>
    <row r="133" spans="1:26" x14ac:dyDescent="0.2">
      <c r="A133" s="53">
        <v>1.24499E-2</v>
      </c>
      <c r="B133" s="53">
        <v>1.53364E-2</v>
      </c>
      <c r="C133" s="54">
        <v>-2.45114E-5</v>
      </c>
      <c r="D133" s="55">
        <f t="shared" si="56"/>
        <v>1.0000000000000001E-5</v>
      </c>
      <c r="E133" s="55">
        <f t="shared" si="57"/>
        <v>1.0000000000000001E-5</v>
      </c>
      <c r="F133" s="77">
        <f t="shared" si="58"/>
        <v>4.4850803347391832E-4</v>
      </c>
      <c r="G133" s="56">
        <f t="shared" si="59"/>
        <v>31212166970794.332</v>
      </c>
      <c r="H133" s="56" t="str">
        <f t="shared" ca="1" si="60"/>
        <v/>
      </c>
      <c r="I133" s="56">
        <f t="shared" si="61"/>
        <v>2280000000000</v>
      </c>
      <c r="J133" s="56">
        <f t="shared" si="62"/>
        <v>31212166970794.332</v>
      </c>
      <c r="K133" s="51"/>
      <c r="L133" s="56"/>
      <c r="M133" s="38" t="str">
        <f t="shared" ca="1" si="72"/>
        <v/>
      </c>
      <c r="N133" s="41" t="str">
        <f t="shared" ca="1" si="55"/>
        <v/>
      </c>
      <c r="O133" s="38"/>
      <c r="P133" s="38" t="str">
        <f t="shared" ca="1" si="73"/>
        <v/>
      </c>
      <c r="Q133" s="46" t="str">
        <f t="shared" si="63"/>
        <v/>
      </c>
      <c r="R133" s="46" t="str">
        <f t="shared" si="64"/>
        <v/>
      </c>
      <c r="S133" s="57">
        <f t="shared" ca="1" si="65"/>
        <v>183.87956580739134</v>
      </c>
      <c r="T133" s="51">
        <f t="shared" ca="1" si="66"/>
        <v>31212166970794.332</v>
      </c>
      <c r="U133" s="58">
        <f>IF(CouplingMode="AC",B133-(A$11-A$10)*SUM(B$9:B133)/0.21,B133)</f>
        <v>1.53364E-2</v>
      </c>
      <c r="V133" s="58" t="e">
        <f ca="1">IF(G133&gt;Traps,CalcImpliedV(SampleDoping,T133),0.1)</f>
        <v>#NAME?</v>
      </c>
      <c r="W133" s="37" t="str">
        <f t="shared" si="67"/>
        <v/>
      </c>
      <c r="X133" s="41" t="str">
        <f t="shared" si="68"/>
        <v/>
      </c>
    </row>
    <row r="134" spans="1:26" x14ac:dyDescent="0.2">
      <c r="A134" s="146" t="s">
        <v>57</v>
      </c>
      <c r="B134" s="151" t="b">
        <f>TRUE</f>
        <v>1</v>
      </c>
      <c r="C134" s="60"/>
      <c r="D134" s="38"/>
      <c r="E134" s="38"/>
      <c r="F134" s="38"/>
      <c r="G134" s="38"/>
      <c r="H134" s="38"/>
      <c r="I134" s="38"/>
      <c r="J134" s="38"/>
      <c r="K134" s="38"/>
      <c r="L134" s="38"/>
      <c r="M134" s="38"/>
      <c r="N134" s="41" t="str">
        <f t="shared" si="55"/>
        <v/>
      </c>
      <c r="O134" s="38"/>
      <c r="R134" s="38"/>
      <c r="S134" s="38"/>
      <c r="T134" s="38"/>
      <c r="U134" s="46"/>
      <c r="V134" s="38"/>
      <c r="W134" s="38"/>
      <c r="X134" s="38"/>
      <c r="Y134" s="38"/>
      <c r="Z134" s="38"/>
    </row>
    <row r="135" spans="1:26" x14ac:dyDescent="0.2">
      <c r="A135" s="146"/>
      <c r="B135" s="47"/>
      <c r="C135" s="45"/>
      <c r="D135" s="38"/>
      <c r="E135" s="38"/>
      <c r="F135" s="38"/>
      <c r="G135" s="46"/>
      <c r="H135" s="46"/>
      <c r="I135" s="38"/>
      <c r="J135" s="38"/>
      <c r="K135" s="38"/>
      <c r="L135" s="38"/>
      <c r="M135" s="38"/>
      <c r="N135" s="38"/>
      <c r="O135" s="38"/>
      <c r="R135" s="38"/>
      <c r="S135" s="38"/>
      <c r="T135" s="38"/>
      <c r="U135" s="46"/>
      <c r="V135" s="38"/>
      <c r="W135" s="38"/>
      <c r="X135" s="38"/>
      <c r="Y135" s="38"/>
      <c r="Z135" s="38"/>
    </row>
    <row r="136" spans="1:26" x14ac:dyDescent="0.2">
      <c r="A136" s="146" t="s">
        <v>80</v>
      </c>
      <c r="B136" s="47" t="b">
        <f>FALSE</f>
        <v>0</v>
      </c>
      <c r="C136" s="59"/>
      <c r="D136" s="38"/>
      <c r="E136" s="38"/>
      <c r="F136" s="38"/>
      <c r="G136" s="38"/>
      <c r="H136" s="38"/>
      <c r="I136" s="38"/>
      <c r="J136" s="38"/>
      <c r="K136" s="38"/>
      <c r="L136" s="38"/>
      <c r="M136" s="38"/>
      <c r="N136" s="38"/>
      <c r="O136" s="38"/>
      <c r="R136" s="38"/>
      <c r="S136" s="38"/>
      <c r="T136" s="38"/>
      <c r="U136" s="46"/>
      <c r="V136" s="38"/>
      <c r="W136" s="38"/>
      <c r="X136" s="38"/>
      <c r="Y136" s="38"/>
      <c r="Z136" s="38"/>
    </row>
    <row r="137" spans="1:26" x14ac:dyDescent="0.2">
      <c r="A137" s="146"/>
      <c r="B137" s="47"/>
      <c r="C137" s="59"/>
      <c r="D137" s="38"/>
      <c r="E137" s="38"/>
      <c r="F137" s="38"/>
      <c r="G137" s="38"/>
      <c r="H137" s="38"/>
      <c r="I137" s="38"/>
      <c r="J137" s="38"/>
      <c r="K137" s="38"/>
      <c r="L137" s="38"/>
      <c r="M137" s="38"/>
      <c r="N137" s="38"/>
      <c r="O137" s="38"/>
      <c r="R137" s="38"/>
      <c r="S137" s="38"/>
      <c r="T137" s="38"/>
      <c r="U137" s="46"/>
      <c r="V137" s="38"/>
      <c r="W137" s="38"/>
      <c r="X137" s="38"/>
      <c r="Y137" s="38"/>
      <c r="Z137" s="38"/>
    </row>
    <row r="138" spans="1:26" x14ac:dyDescent="0.2">
      <c r="A138" s="146" t="s">
        <v>69</v>
      </c>
      <c r="B138" s="47">
        <f>5</f>
        <v>5</v>
      </c>
      <c r="C138" s="59"/>
      <c r="D138" s="38"/>
      <c r="E138" s="38"/>
      <c r="F138" s="38"/>
      <c r="G138" s="38"/>
      <c r="H138" s="38"/>
      <c r="I138" s="38"/>
      <c r="J138" s="38"/>
      <c r="K138" s="38"/>
      <c r="L138" s="38"/>
      <c r="M138" s="38"/>
      <c r="N138" s="38"/>
      <c r="O138" s="38"/>
      <c r="R138" s="38"/>
      <c r="S138" s="38"/>
      <c r="T138" s="38"/>
      <c r="U138" s="46"/>
      <c r="V138" s="38"/>
      <c r="W138" s="38"/>
      <c r="X138" s="38"/>
      <c r="Y138" s="38"/>
      <c r="Z138" s="38"/>
    </row>
    <row r="139" spans="1:26" x14ac:dyDescent="0.2">
      <c r="A139" s="147"/>
      <c r="B139" s="47"/>
      <c r="C139" s="47"/>
      <c r="D139" s="48"/>
      <c r="E139" s="48"/>
      <c r="F139" s="48"/>
      <c r="G139" s="48"/>
      <c r="H139" s="48"/>
      <c r="I139" s="48"/>
      <c r="J139" s="48"/>
      <c r="K139" s="48"/>
      <c r="L139" s="48"/>
      <c r="M139" s="38"/>
      <c r="N139" s="48"/>
      <c r="O139" s="38"/>
      <c r="P139" s="48"/>
      <c r="Q139" s="48"/>
      <c r="R139" s="48"/>
      <c r="S139" s="48"/>
      <c r="T139" s="48"/>
      <c r="U139" s="48"/>
      <c r="V139" s="48" t="str">
        <f>IF(User!S6="","",User!S6)</f>
        <v/>
      </c>
      <c r="W139" s="38"/>
      <c r="X139" s="38"/>
    </row>
    <row r="140" spans="1:26" x14ac:dyDescent="0.2">
      <c r="A140" s="146" t="s">
        <v>68</v>
      </c>
      <c r="B140" s="150">
        <f>5</f>
        <v>5</v>
      </c>
      <c r="C140" s="44"/>
      <c r="D140" s="38"/>
      <c r="E140" s="38"/>
      <c r="F140" s="42"/>
      <c r="G140" s="42"/>
      <c r="H140" s="42"/>
      <c r="I140" s="42"/>
      <c r="J140" s="43"/>
      <c r="K140" s="42"/>
      <c r="L140" s="42"/>
      <c r="M140" s="38"/>
      <c r="N140" s="42"/>
      <c r="O140" s="38"/>
      <c r="P140" s="42"/>
      <c r="Q140" s="42"/>
      <c r="R140" s="42"/>
      <c r="S140" s="42"/>
      <c r="T140" s="38"/>
      <c r="U140" s="38"/>
      <c r="V140" s="38"/>
      <c r="W140" s="38"/>
      <c r="X140" s="38"/>
    </row>
    <row r="141" spans="1:26" x14ac:dyDescent="0.2">
      <c r="A141" s="148"/>
      <c r="B141" s="47"/>
      <c r="C141" s="45"/>
      <c r="D141" s="36"/>
      <c r="E141" s="37"/>
      <c r="F141" s="36"/>
      <c r="G141" s="38"/>
      <c r="H141" s="38"/>
      <c r="I141" s="38"/>
      <c r="J141" s="39"/>
      <c r="K141" s="37"/>
      <c r="L141" s="39"/>
      <c r="N141" s="40"/>
      <c r="P141" s="38"/>
      <c r="Q141" s="37"/>
      <c r="R141" s="40"/>
    </row>
    <row r="142" spans="1:26" x14ac:dyDescent="0.2">
      <c r="A142" s="146" t="s">
        <v>67</v>
      </c>
      <c r="B142" s="47">
        <f>10</f>
        <v>10</v>
      </c>
      <c r="C142" s="45"/>
      <c r="D142" s="38"/>
      <c r="E142" s="38"/>
      <c r="F142" s="38"/>
      <c r="G142" s="38"/>
      <c r="H142" s="38"/>
      <c r="I142" s="38"/>
      <c r="J142" s="38"/>
      <c r="K142" s="38"/>
      <c r="L142" s="38"/>
      <c r="P142" s="38"/>
      <c r="Q142" s="38"/>
    </row>
    <row r="143" spans="1:26" x14ac:dyDescent="0.2">
      <c r="A143" s="149"/>
      <c r="B143" s="79"/>
      <c r="C143" s="78"/>
    </row>
    <row r="144" spans="1:26" x14ac:dyDescent="0.2">
      <c r="A144" s="149" t="s">
        <v>66</v>
      </c>
      <c r="B144" s="79">
        <f>20</f>
        <v>20</v>
      </c>
      <c r="C144" s="78"/>
    </row>
    <row r="145" spans="1:3" x14ac:dyDescent="0.2">
      <c r="A145" s="149"/>
      <c r="B145" s="79"/>
      <c r="C145" s="78"/>
    </row>
    <row r="146" spans="1:3" x14ac:dyDescent="0.2">
      <c r="A146" s="149" t="s">
        <v>73</v>
      </c>
      <c r="B146" s="79">
        <f>1</f>
        <v>1</v>
      </c>
      <c r="C146" s="78"/>
    </row>
    <row r="147" spans="1:3" x14ac:dyDescent="0.2">
      <c r="A147" s="149"/>
      <c r="B147" s="79"/>
      <c r="C147" s="78"/>
    </row>
    <row r="148" spans="1:3" x14ac:dyDescent="0.2">
      <c r="A148" s="149" t="s">
        <v>72</v>
      </c>
      <c r="B148" s="79">
        <f>1</f>
        <v>1</v>
      </c>
      <c r="C148" s="78"/>
    </row>
    <row r="149" spans="1:3" x14ac:dyDescent="0.2">
      <c r="A149" s="149"/>
      <c r="B149" s="79"/>
      <c r="C149" s="78"/>
    </row>
    <row r="150" spans="1:3" x14ac:dyDescent="0.2">
      <c r="A150" s="149" t="s">
        <v>71</v>
      </c>
      <c r="B150" s="176">
        <f>4.5626</f>
        <v>4.5625999999999998</v>
      </c>
      <c r="C150" s="78"/>
    </row>
    <row r="151" spans="1:3" x14ac:dyDescent="0.2">
      <c r="A151" s="149"/>
      <c r="B151" s="79"/>
      <c r="C151" s="78"/>
    </row>
    <row r="152" spans="1:3" x14ac:dyDescent="0.2">
      <c r="A152" s="149" t="s">
        <v>70</v>
      </c>
      <c r="B152" s="79">
        <f>0.200946</f>
        <v>0.20094600000000001</v>
      </c>
      <c r="C152" s="78"/>
    </row>
    <row r="153" spans="1:3" x14ac:dyDescent="0.2">
      <c r="A153" s="149"/>
      <c r="B153" s="79"/>
      <c r="C153" s="78"/>
    </row>
    <row r="154" spans="1:3" x14ac:dyDescent="0.2">
      <c r="A154" s="149" t="s">
        <v>63</v>
      </c>
      <c r="B154" s="79">
        <f>125</f>
        <v>125</v>
      </c>
      <c r="C154" s="78"/>
    </row>
    <row r="155" spans="1:3" x14ac:dyDescent="0.2">
      <c r="A155" s="149"/>
      <c r="B155" s="79"/>
      <c r="C155" s="78"/>
    </row>
    <row r="156" spans="1:3" x14ac:dyDescent="0.2">
      <c r="A156" s="149" t="s">
        <v>61</v>
      </c>
      <c r="B156" s="79">
        <f>12500</f>
        <v>12500</v>
      </c>
      <c r="C156" s="78"/>
    </row>
    <row r="157" spans="1:3" x14ac:dyDescent="0.2">
      <c r="A157" s="149"/>
      <c r="B157" s="79"/>
      <c r="C157" s="78"/>
    </row>
    <row r="158" spans="1:3" x14ac:dyDescent="0.2">
      <c r="A158" s="149" t="s">
        <v>58</v>
      </c>
      <c r="B158" s="79">
        <f>0.2</f>
        <v>0.2</v>
      </c>
      <c r="C158" s="78"/>
    </row>
    <row r="159" spans="1:3" x14ac:dyDescent="0.2">
      <c r="A159" s="149"/>
      <c r="B159" s="79"/>
      <c r="C159" s="78"/>
    </row>
    <row r="160" spans="1:3" x14ac:dyDescent="0.2">
      <c r="A160" s="149" t="s">
        <v>59</v>
      </c>
      <c r="B160" s="79">
        <f>0.02</f>
        <v>0.02</v>
      </c>
      <c r="C160" s="78"/>
    </row>
    <row r="161" spans="1:3" x14ac:dyDescent="0.2">
      <c r="A161" s="149"/>
      <c r="B161" s="79"/>
      <c r="C161" s="78"/>
    </row>
    <row r="162" spans="1:3" x14ac:dyDescent="0.2">
      <c r="A162" s="149" t="s">
        <v>60</v>
      </c>
      <c r="B162" s="79">
        <f>1000</f>
        <v>1000</v>
      </c>
      <c r="C162" s="78"/>
    </row>
    <row r="163" spans="1:3" x14ac:dyDescent="0.2">
      <c r="A163" s="149"/>
      <c r="B163" s="79"/>
      <c r="C163" s="78"/>
    </row>
    <row r="164" spans="1:3" x14ac:dyDescent="0.2">
      <c r="A164" s="149" t="s">
        <v>62</v>
      </c>
      <c r="B164" s="79">
        <f>0.05</f>
        <v>0.05</v>
      </c>
      <c r="C164" s="78"/>
    </row>
    <row r="165" spans="1:3" x14ac:dyDescent="0.2">
      <c r="A165" s="149"/>
      <c r="B165" s="79"/>
      <c r="C165" s="78"/>
    </row>
    <row r="166" spans="1:3" x14ac:dyDescent="0.2">
      <c r="A166" s="149" t="s">
        <v>64</v>
      </c>
      <c r="B166" s="79">
        <f>1.68196</f>
        <v>1.6819599999999999</v>
      </c>
      <c r="C166" s="78"/>
    </row>
    <row r="167" spans="1:3" x14ac:dyDescent="0.2">
      <c r="A167" s="149"/>
      <c r="B167" s="79"/>
      <c r="C167" s="78"/>
    </row>
    <row r="168" spans="1:3" x14ac:dyDescent="0.2">
      <c r="A168" s="149" t="s">
        <v>76</v>
      </c>
      <c r="B168" s="79" t="b">
        <f>TRUE</f>
        <v>1</v>
      </c>
      <c r="C168" s="78"/>
    </row>
    <row r="169" spans="1:3" x14ac:dyDescent="0.2">
      <c r="A169" s="149"/>
      <c r="B169" s="79"/>
      <c r="C169" s="78"/>
    </row>
    <row r="170" spans="1:3" x14ac:dyDescent="0.2">
      <c r="A170" s="149" t="s">
        <v>74</v>
      </c>
      <c r="B170" s="79" t="b">
        <f>TRUE</f>
        <v>1</v>
      </c>
      <c r="C170" s="78"/>
    </row>
    <row r="171" spans="1:3" x14ac:dyDescent="0.2">
      <c r="A171" s="149"/>
      <c r="B171" s="79"/>
      <c r="C171" s="78"/>
    </row>
    <row r="172" spans="1:3" x14ac:dyDescent="0.2">
      <c r="A172" s="149" t="s">
        <v>75</v>
      </c>
      <c r="B172" s="79" t="b">
        <f>FALSE</f>
        <v>0</v>
      </c>
      <c r="C172" s="78"/>
    </row>
    <row r="173" spans="1:3" x14ac:dyDescent="0.2">
      <c r="A173" s="149"/>
      <c r="B173" s="79"/>
      <c r="C173" s="78"/>
    </row>
    <row r="174" spans="1:3" x14ac:dyDescent="0.2">
      <c r="A174" s="149" t="s">
        <v>79</v>
      </c>
      <c r="B174" s="79">
        <f>20000</f>
        <v>20000</v>
      </c>
      <c r="C174" s="78"/>
    </row>
    <row r="175" spans="1:3" x14ac:dyDescent="0.2">
      <c r="A175" s="149"/>
      <c r="B175" s="79"/>
      <c r="C175" s="78"/>
    </row>
    <row r="176" spans="1:3" x14ac:dyDescent="0.2">
      <c r="A176" s="149" t="s">
        <v>77</v>
      </c>
      <c r="B176" s="79">
        <f>0.3</f>
        <v>0.3</v>
      </c>
      <c r="C176" s="78"/>
    </row>
    <row r="177" spans="1:3" x14ac:dyDescent="0.2">
      <c r="A177" s="149"/>
      <c r="B177" s="79"/>
      <c r="C177" s="78"/>
    </row>
    <row r="178" spans="1:3" x14ac:dyDescent="0.2">
      <c r="A178" s="149" t="s">
        <v>78</v>
      </c>
      <c r="B178" s="79">
        <f>1</f>
        <v>1</v>
      </c>
      <c r="C178" s="78"/>
    </row>
    <row r="179" spans="1:3" x14ac:dyDescent="0.2">
      <c r="A179" s="149"/>
      <c r="B179" s="79"/>
      <c r="C179" s="78"/>
    </row>
    <row r="180" spans="1:3" x14ac:dyDescent="0.2">
      <c r="A180" s="149" t="s">
        <v>81</v>
      </c>
      <c r="B180" s="79">
        <f>20</f>
        <v>20</v>
      </c>
      <c r="C180" s="78"/>
    </row>
    <row r="181" spans="1:3" x14ac:dyDescent="0.2">
      <c r="A181" s="149"/>
      <c r="B181" s="79"/>
      <c r="C181" s="78"/>
    </row>
    <row r="182" spans="1:3" x14ac:dyDescent="0.2">
      <c r="A182" s="149" t="s">
        <v>83</v>
      </c>
      <c r="B182" s="79">
        <f>1</f>
        <v>1</v>
      </c>
      <c r="C182" s="78"/>
    </row>
    <row r="183" spans="1:3" x14ac:dyDescent="0.2">
      <c r="A183" s="149"/>
      <c r="B183" s="79"/>
      <c r="C183" s="78"/>
    </row>
    <row r="184" spans="1:3" x14ac:dyDescent="0.2">
      <c r="A184" s="149" t="s">
        <v>84</v>
      </c>
      <c r="B184" s="79" t="b">
        <f>FALSE</f>
        <v>0</v>
      </c>
      <c r="C184" s="78"/>
    </row>
    <row r="185" spans="1:3" x14ac:dyDescent="0.2">
      <c r="A185" s="149"/>
      <c r="B185" s="79"/>
      <c r="C185" s="78"/>
    </row>
    <row r="186" spans="1:3" x14ac:dyDescent="0.2">
      <c r="A186" s="149" t="s">
        <v>85</v>
      </c>
      <c r="B186" s="79"/>
      <c r="C186" s="78"/>
    </row>
    <row r="187" spans="1:3" x14ac:dyDescent="0.2">
      <c r="A187" s="149" t="s">
        <v>99</v>
      </c>
      <c r="B187" s="79">
        <f>1</f>
        <v>1</v>
      </c>
      <c r="C187" s="78"/>
    </row>
    <row r="188" spans="1:3" x14ac:dyDescent="0.2">
      <c r="A188" s="149"/>
      <c r="B188" s="79"/>
      <c r="C188" s="78"/>
    </row>
    <row r="189" spans="1:3" x14ac:dyDescent="0.2">
      <c r="A189" s="149" t="s">
        <v>100</v>
      </c>
      <c r="B189" s="79">
        <f>1</f>
        <v>1</v>
      </c>
      <c r="C189" s="78"/>
    </row>
    <row r="190" spans="1:3" x14ac:dyDescent="0.2">
      <c r="A190" s="149"/>
      <c r="B190" s="79"/>
      <c r="C190" s="78"/>
    </row>
    <row r="191" spans="1:3" x14ac:dyDescent="0.2">
      <c r="A191" s="149" t="s">
        <v>101</v>
      </c>
      <c r="B191" s="79">
        <f>1</f>
        <v>1</v>
      </c>
      <c r="C191" s="78"/>
    </row>
    <row r="192" spans="1:3" x14ac:dyDescent="0.2">
      <c r="A192" s="149"/>
      <c r="B192" s="79"/>
      <c r="C192" s="78"/>
    </row>
    <row r="193" spans="1:19" x14ac:dyDescent="0.2">
      <c r="A193" s="149" t="s">
        <v>102</v>
      </c>
      <c r="B193" s="79">
        <f>1</f>
        <v>1</v>
      </c>
      <c r="C193" s="78"/>
    </row>
    <row r="194" spans="1:19" x14ac:dyDescent="0.2">
      <c r="A194" s="149"/>
      <c r="B194" s="79"/>
      <c r="C194" s="78"/>
    </row>
    <row r="195" spans="1:19" x14ac:dyDescent="0.2">
      <c r="A195" s="149" t="s">
        <v>103</v>
      </c>
      <c r="B195" s="79">
        <f>1</f>
        <v>1</v>
      </c>
      <c r="C195" s="78"/>
    </row>
    <row r="196" spans="1:19" x14ac:dyDescent="0.2">
      <c r="A196" s="149"/>
      <c r="B196" s="79"/>
      <c r="C196" s="78"/>
    </row>
    <row r="197" spans="1:19" x14ac:dyDescent="0.2">
      <c r="A197" s="149" t="s">
        <v>104</v>
      </c>
      <c r="B197" s="79">
        <f>1</f>
        <v>1</v>
      </c>
      <c r="C197" s="78"/>
    </row>
    <row r="198" spans="1:19" x14ac:dyDescent="0.2">
      <c r="A198" s="149"/>
      <c r="B198" s="79"/>
      <c r="C198" s="78"/>
    </row>
    <row r="199" spans="1:19" x14ac:dyDescent="0.2">
      <c r="A199" s="149" t="s">
        <v>105</v>
      </c>
      <c r="B199" s="79">
        <f>1</f>
        <v>1</v>
      </c>
      <c r="C199" s="78"/>
    </row>
    <row r="200" spans="1:19" x14ac:dyDescent="0.2">
      <c r="A200" s="149"/>
      <c r="B200" s="79"/>
      <c r="C200" s="79"/>
      <c r="D200" s="91"/>
      <c r="E200" s="91"/>
      <c r="F200" s="91"/>
      <c r="G200" s="91"/>
      <c r="H200" s="91"/>
      <c r="I200" s="91"/>
      <c r="J200" s="91"/>
      <c r="K200" s="91"/>
      <c r="L200" s="91"/>
      <c r="N200" s="91"/>
      <c r="P200" s="91"/>
      <c r="Q200" s="91"/>
      <c r="R200" s="91"/>
      <c r="S200" s="91"/>
    </row>
    <row r="201" spans="1:19" x14ac:dyDescent="0.2">
      <c r="A201" s="149" t="s">
        <v>106</v>
      </c>
      <c r="B201" s="79">
        <f>1</f>
        <v>1</v>
      </c>
      <c r="C201" s="78"/>
    </row>
    <row r="202" spans="1:19" x14ac:dyDescent="0.2">
      <c r="A202" s="149"/>
      <c r="B202" s="79"/>
      <c r="C202" s="78"/>
    </row>
    <row r="203" spans="1:19" x14ac:dyDescent="0.2">
      <c r="A203" s="149" t="s">
        <v>107</v>
      </c>
      <c r="B203" s="79">
        <f>1</f>
        <v>1</v>
      </c>
      <c r="C203" s="78"/>
    </row>
    <row r="204" spans="1:19" x14ac:dyDescent="0.2">
      <c r="A204" s="149"/>
      <c r="B204" s="79"/>
      <c r="C204" s="78"/>
    </row>
    <row r="205" spans="1:19" x14ac:dyDescent="0.2">
      <c r="A205" s="149" t="s">
        <v>108</v>
      </c>
      <c r="B205" s="79" t="b">
        <f>FALSE</f>
        <v>0</v>
      </c>
      <c r="C205" s="78"/>
    </row>
    <row r="206" spans="1:19" x14ac:dyDescent="0.2">
      <c r="A206" s="149"/>
      <c r="B206" s="79"/>
      <c r="C206" s="78"/>
    </row>
    <row r="207" spans="1:19" x14ac:dyDescent="0.2">
      <c r="A207" s="149" t="s">
        <v>109</v>
      </c>
      <c r="B207" s="79">
        <f>1</f>
        <v>1</v>
      </c>
      <c r="C207" s="78"/>
    </row>
    <row r="208" spans="1:19" x14ac:dyDescent="0.2">
      <c r="A208" s="149"/>
      <c r="B208" s="79"/>
      <c r="C208" s="78"/>
    </row>
    <row r="209" spans="1:3" x14ac:dyDescent="0.2">
      <c r="A209" s="149" t="s">
        <v>110</v>
      </c>
      <c r="B209" s="79">
        <f>1</f>
        <v>1</v>
      </c>
      <c r="C209" s="78"/>
    </row>
    <row r="210" spans="1:3" x14ac:dyDescent="0.2">
      <c r="A210" s="149"/>
      <c r="B210" s="79"/>
      <c r="C210" s="78"/>
    </row>
    <row r="211" spans="1:3" x14ac:dyDescent="0.2">
      <c r="A211" s="149" t="s">
        <v>91</v>
      </c>
      <c r="B211" s="79">
        <f>1</f>
        <v>1</v>
      </c>
      <c r="C211" s="78"/>
    </row>
    <row r="212" spans="1:3" x14ac:dyDescent="0.2">
      <c r="A212" s="149"/>
      <c r="B212" s="79"/>
      <c r="C212" s="78"/>
    </row>
    <row r="213" spans="1:3" x14ac:dyDescent="0.2">
      <c r="A213" s="149" t="s">
        <v>92</v>
      </c>
      <c r="B213" s="79">
        <f>1</f>
        <v>1</v>
      </c>
      <c r="C213" s="78"/>
    </row>
    <row r="214" spans="1:3" x14ac:dyDescent="0.2">
      <c r="A214" s="149"/>
      <c r="B214" s="79"/>
      <c r="C214" s="78"/>
    </row>
    <row r="215" spans="1:3" x14ac:dyDescent="0.2">
      <c r="A215" s="149" t="s">
        <v>93</v>
      </c>
      <c r="B215" s="79">
        <f>1</f>
        <v>1</v>
      </c>
      <c r="C215" s="78"/>
    </row>
    <row r="216" spans="1:3" x14ac:dyDescent="0.2">
      <c r="A216" s="149"/>
      <c r="B216" s="79"/>
      <c r="C216" s="78"/>
    </row>
    <row r="217" spans="1:3" x14ac:dyDescent="0.2">
      <c r="A217" s="149" t="s">
        <v>94</v>
      </c>
      <c r="B217" s="79">
        <f>1</f>
        <v>1</v>
      </c>
      <c r="C217" s="78"/>
    </row>
    <row r="218" spans="1:3" x14ac:dyDescent="0.2">
      <c r="A218" s="149"/>
      <c r="B218" s="79"/>
      <c r="C218" s="78"/>
    </row>
    <row r="219" spans="1:3" x14ac:dyDescent="0.2">
      <c r="A219" s="149" t="s">
        <v>95</v>
      </c>
      <c r="B219" s="79">
        <f>1</f>
        <v>1</v>
      </c>
      <c r="C219" s="78"/>
    </row>
    <row r="220" spans="1:3" x14ac:dyDescent="0.2">
      <c r="A220" s="149"/>
      <c r="B220" s="79"/>
      <c r="C220" s="78"/>
    </row>
    <row r="221" spans="1:3" x14ac:dyDescent="0.2">
      <c r="A221" s="149" t="s">
        <v>98</v>
      </c>
      <c r="B221" s="79">
        <f>1</f>
        <v>1</v>
      </c>
      <c r="C221" s="78"/>
    </row>
    <row r="222" spans="1:3" x14ac:dyDescent="0.2">
      <c r="A222" s="149"/>
      <c r="B222" s="79"/>
      <c r="C222" s="78"/>
    </row>
    <row r="223" spans="1:3" x14ac:dyDescent="0.2">
      <c r="A223" s="149" t="s">
        <v>96</v>
      </c>
      <c r="B223" s="79">
        <f>1</f>
        <v>1</v>
      </c>
      <c r="C223" s="78"/>
    </row>
    <row r="224" spans="1:3" x14ac:dyDescent="0.2">
      <c r="A224" s="149"/>
      <c r="B224" s="79"/>
      <c r="C224" s="78"/>
    </row>
    <row r="225" spans="1:3" x14ac:dyDescent="0.2">
      <c r="A225" s="149" t="s">
        <v>97</v>
      </c>
      <c r="B225" s="79">
        <f>1</f>
        <v>1</v>
      </c>
      <c r="C225" s="78"/>
    </row>
    <row r="226" spans="1:3" x14ac:dyDescent="0.2">
      <c r="A226" s="149"/>
      <c r="B226" s="79"/>
      <c r="C226" s="78"/>
    </row>
    <row r="227" spans="1:3" x14ac:dyDescent="0.2">
      <c r="A227" s="149" t="s">
        <v>111</v>
      </c>
      <c r="B227" s="79">
        <f>1</f>
        <v>1</v>
      </c>
      <c r="C227" s="78"/>
    </row>
    <row r="228" spans="1:3" x14ac:dyDescent="0.2">
      <c r="A228" s="149"/>
      <c r="B228" s="79"/>
      <c r="C228" s="78"/>
    </row>
    <row r="229" spans="1:3" x14ac:dyDescent="0.2">
      <c r="A229" s="149" t="s">
        <v>112</v>
      </c>
      <c r="B229" s="79">
        <f>1</f>
        <v>1</v>
      </c>
      <c r="C229" s="78"/>
    </row>
    <row r="230" spans="1:3" x14ac:dyDescent="0.2">
      <c r="A230" s="149"/>
      <c r="B230" s="79"/>
      <c r="C230" s="78"/>
    </row>
    <row r="231" spans="1:3" x14ac:dyDescent="0.2">
      <c r="A231" s="149" t="s">
        <v>132</v>
      </c>
      <c r="B231" s="79">
        <f>1</f>
        <v>1</v>
      </c>
      <c r="C231" s="78"/>
    </row>
    <row r="232" spans="1:3" x14ac:dyDescent="0.2">
      <c r="A232" s="149"/>
      <c r="B232" s="79"/>
      <c r="C232" s="78"/>
    </row>
    <row r="233" spans="1:3" x14ac:dyDescent="0.2">
      <c r="A233" s="149" t="s">
        <v>113</v>
      </c>
      <c r="B233" s="79"/>
      <c r="C233" s="78"/>
    </row>
    <row r="234" spans="1:3" x14ac:dyDescent="0.2">
      <c r="A234" s="149" t="s">
        <v>114</v>
      </c>
      <c r="B234" s="79" t="b">
        <f>FALSE</f>
        <v>0</v>
      </c>
      <c r="C234" s="78"/>
    </row>
    <row r="235" spans="1:3" x14ac:dyDescent="0.2">
      <c r="A235" s="149"/>
      <c r="B235" s="79"/>
      <c r="C235" s="78"/>
    </row>
    <row r="236" spans="1:3" x14ac:dyDescent="0.2">
      <c r="A236" s="149" t="s">
        <v>115</v>
      </c>
      <c r="B236" s="79" t="s">
        <v>354</v>
      </c>
      <c r="C236" s="78"/>
    </row>
    <row r="237" spans="1:3" x14ac:dyDescent="0.2">
      <c r="A237" s="149"/>
      <c r="B237" s="79"/>
      <c r="C237" s="78"/>
    </row>
    <row r="238" spans="1:3" x14ac:dyDescent="0.2">
      <c r="A238" s="149" t="s">
        <v>116</v>
      </c>
      <c r="B238" s="79" t="s">
        <v>354</v>
      </c>
      <c r="C238" s="78"/>
    </row>
    <row r="239" spans="1:3" x14ac:dyDescent="0.2">
      <c r="A239" s="149"/>
      <c r="B239" s="79"/>
      <c r="C239" s="78"/>
    </row>
    <row r="240" spans="1:3" x14ac:dyDescent="0.2">
      <c r="A240" s="149" t="s">
        <v>117</v>
      </c>
      <c r="B240" s="79" t="b">
        <f>FALSE</f>
        <v>0</v>
      </c>
      <c r="C240" s="78"/>
    </row>
    <row r="241" spans="1:3" x14ac:dyDescent="0.2">
      <c r="A241" s="149"/>
      <c r="B241" s="79"/>
      <c r="C241" s="78"/>
    </row>
    <row r="242" spans="1:3" x14ac:dyDescent="0.2">
      <c r="A242" s="149" t="s">
        <v>118</v>
      </c>
      <c r="B242" s="79" t="s">
        <v>354</v>
      </c>
      <c r="C242" s="78"/>
    </row>
    <row r="243" spans="1:3" x14ac:dyDescent="0.2">
      <c r="A243" s="149"/>
      <c r="B243" s="79"/>
      <c r="C243" s="78"/>
    </row>
    <row r="244" spans="1:3" x14ac:dyDescent="0.2">
      <c r="A244" s="149" t="s">
        <v>119</v>
      </c>
      <c r="B244" s="79" t="b">
        <f>FALSE</f>
        <v>0</v>
      </c>
      <c r="C244" s="78"/>
    </row>
    <row r="245" spans="1:3" x14ac:dyDescent="0.2">
      <c r="A245" s="149"/>
      <c r="B245" s="79"/>
      <c r="C245" s="78"/>
    </row>
    <row r="246" spans="1:3" x14ac:dyDescent="0.2">
      <c r="A246" s="149" t="s">
        <v>120</v>
      </c>
      <c r="B246" s="79" t="s">
        <v>354</v>
      </c>
      <c r="C246" s="78"/>
    </row>
    <row r="247" spans="1:3" x14ac:dyDescent="0.2">
      <c r="A247" s="149"/>
      <c r="B247" s="79"/>
      <c r="C247" s="78"/>
    </row>
    <row r="248" spans="1:3" x14ac:dyDescent="0.2">
      <c r="A248" s="149" t="s">
        <v>121</v>
      </c>
      <c r="B248" s="79">
        <f>1</f>
        <v>1</v>
      </c>
      <c r="C248" s="78"/>
    </row>
    <row r="249" spans="1:3" x14ac:dyDescent="0.2">
      <c r="A249" s="149"/>
      <c r="B249" s="79"/>
      <c r="C249" s="78"/>
    </row>
    <row r="250" spans="1:3" x14ac:dyDescent="0.2">
      <c r="A250" s="149" t="s">
        <v>122</v>
      </c>
      <c r="B250" s="79">
        <f>1</f>
        <v>1</v>
      </c>
      <c r="C250" s="78"/>
    </row>
    <row r="251" spans="1:3" x14ac:dyDescent="0.2">
      <c r="A251" s="149"/>
      <c r="B251" s="79"/>
      <c r="C251" s="78"/>
    </row>
    <row r="252" spans="1:3" x14ac:dyDescent="0.2">
      <c r="A252" s="149" t="s">
        <v>123</v>
      </c>
      <c r="B252" s="79">
        <f>1</f>
        <v>1</v>
      </c>
      <c r="C252" s="78"/>
    </row>
    <row r="253" spans="1:3" x14ac:dyDescent="0.2">
      <c r="A253" s="149"/>
      <c r="B253" s="79"/>
      <c r="C253" s="78"/>
    </row>
    <row r="254" spans="1:3" x14ac:dyDescent="0.2">
      <c r="A254" s="149" t="s">
        <v>124</v>
      </c>
      <c r="B254" s="79" t="s">
        <v>354</v>
      </c>
      <c r="C254" s="78"/>
    </row>
    <row r="255" spans="1:3" x14ac:dyDescent="0.2">
      <c r="A255" s="149"/>
      <c r="B255" s="79"/>
      <c r="C255" s="78"/>
    </row>
    <row r="256" spans="1:3" x14ac:dyDescent="0.2">
      <c r="A256" s="149" t="s">
        <v>125</v>
      </c>
      <c r="B256" s="79" t="s">
        <v>354</v>
      </c>
      <c r="C256" s="78"/>
    </row>
    <row r="257" spans="1:3" x14ac:dyDescent="0.2">
      <c r="A257" s="149"/>
      <c r="B257" s="79"/>
      <c r="C257" s="78"/>
    </row>
    <row r="258" spans="1:3" x14ac:dyDescent="0.2">
      <c r="A258" s="149" t="s">
        <v>126</v>
      </c>
      <c r="B258" s="79">
        <f>1</f>
        <v>1</v>
      </c>
      <c r="C258" s="78"/>
    </row>
    <row r="259" spans="1:3" x14ac:dyDescent="0.2">
      <c r="A259" s="149"/>
      <c r="B259" s="79"/>
      <c r="C259" s="78"/>
    </row>
    <row r="260" spans="1:3" x14ac:dyDescent="0.2">
      <c r="A260" s="149" t="s">
        <v>127</v>
      </c>
      <c r="B260" s="79">
        <f>1</f>
        <v>1</v>
      </c>
      <c r="C260" s="78"/>
    </row>
    <row r="261" spans="1:3" x14ac:dyDescent="0.2">
      <c r="A261" s="149"/>
      <c r="B261" s="79"/>
      <c r="C261" s="78"/>
    </row>
    <row r="262" spans="1:3" x14ac:dyDescent="0.2">
      <c r="A262" s="149" t="s">
        <v>128</v>
      </c>
      <c r="B262" s="79" t="s">
        <v>354</v>
      </c>
      <c r="C262" s="78"/>
    </row>
    <row r="263" spans="1:3" x14ac:dyDescent="0.2">
      <c r="A263" s="149"/>
      <c r="B263" s="79"/>
      <c r="C263" s="78"/>
    </row>
    <row r="264" spans="1:3" x14ac:dyDescent="0.2">
      <c r="A264" s="149" t="s">
        <v>129</v>
      </c>
      <c r="B264" s="79"/>
      <c r="C264" s="78"/>
    </row>
    <row r="265" spans="1:3" x14ac:dyDescent="0.2">
      <c r="A265" s="149" t="s">
        <v>86</v>
      </c>
      <c r="B265" s="79">
        <f>1</f>
        <v>1</v>
      </c>
      <c r="C265" s="78"/>
    </row>
    <row r="266" spans="1:3" x14ac:dyDescent="0.2">
      <c r="A266" s="149"/>
      <c r="B266" s="79"/>
      <c r="C266" s="78"/>
    </row>
    <row r="267" spans="1:3" x14ac:dyDescent="0.2">
      <c r="A267" s="149" t="s">
        <v>87</v>
      </c>
      <c r="B267" s="79">
        <f>1</f>
        <v>1</v>
      </c>
      <c r="C267" s="78"/>
    </row>
    <row r="268" spans="1:3" x14ac:dyDescent="0.2">
      <c r="A268" s="149"/>
      <c r="B268" s="79"/>
      <c r="C268" s="78"/>
    </row>
    <row r="269" spans="1:3" x14ac:dyDescent="0.2">
      <c r="A269" s="149" t="s">
        <v>88</v>
      </c>
      <c r="B269" s="79">
        <f>1</f>
        <v>1</v>
      </c>
      <c r="C269" s="78"/>
    </row>
    <row r="270" spans="1:3" x14ac:dyDescent="0.2">
      <c r="A270" s="149"/>
      <c r="B270" s="79"/>
      <c r="C270" s="78"/>
    </row>
    <row r="271" spans="1:3" x14ac:dyDescent="0.2">
      <c r="A271" s="149" t="s">
        <v>89</v>
      </c>
      <c r="B271" s="79">
        <f>1</f>
        <v>1</v>
      </c>
      <c r="C271" s="78"/>
    </row>
    <row r="272" spans="1:3" x14ac:dyDescent="0.2">
      <c r="A272" s="149"/>
      <c r="B272" s="79"/>
      <c r="C272" s="78"/>
    </row>
    <row r="273" spans="1:3" x14ac:dyDescent="0.2">
      <c r="A273" s="149" t="s">
        <v>90</v>
      </c>
      <c r="B273" s="79">
        <f>1</f>
        <v>1</v>
      </c>
      <c r="C273" s="78"/>
    </row>
    <row r="274" spans="1:3" x14ac:dyDescent="0.2">
      <c r="A274" s="149"/>
      <c r="B274" s="79"/>
      <c r="C274" s="78"/>
    </row>
    <row r="275" spans="1:3" x14ac:dyDescent="0.2">
      <c r="A275" s="149" t="s">
        <v>135</v>
      </c>
      <c r="B275" s="79">
        <f>1</f>
        <v>1</v>
      </c>
      <c r="C275" s="78"/>
    </row>
    <row r="276" spans="1:3" x14ac:dyDescent="0.2">
      <c r="A276" s="149"/>
      <c r="B276" s="79"/>
      <c r="C276" s="78"/>
    </row>
    <row r="277" spans="1:3" x14ac:dyDescent="0.2">
      <c r="A277" s="149" t="s">
        <v>136</v>
      </c>
      <c r="B277" s="79">
        <f>1</f>
        <v>1</v>
      </c>
      <c r="C277" s="78"/>
    </row>
    <row r="278" spans="1:3" x14ac:dyDescent="0.2">
      <c r="A278" s="149"/>
      <c r="B278" s="79"/>
      <c r="C278" s="78"/>
    </row>
    <row r="279" spans="1:3" x14ac:dyDescent="0.2">
      <c r="A279" s="149"/>
      <c r="B279" s="79"/>
      <c r="C279" s="78"/>
    </row>
    <row r="280" spans="1:3" x14ac:dyDescent="0.2">
      <c r="A280" s="149" t="s">
        <v>120</v>
      </c>
      <c r="B280" s="79" t="s">
        <v>133</v>
      </c>
      <c r="C280" s="78"/>
    </row>
    <row r="281" spans="1:3" x14ac:dyDescent="0.2">
      <c r="A281" s="149"/>
      <c r="B281" s="79"/>
      <c r="C281" s="78"/>
    </row>
    <row r="282" spans="1:3" x14ac:dyDescent="0.2">
      <c r="A282" s="149" t="s">
        <v>121</v>
      </c>
      <c r="B282" s="79">
        <v>1</v>
      </c>
      <c r="C282" s="78"/>
    </row>
    <row r="283" spans="1:3" x14ac:dyDescent="0.2">
      <c r="A283" s="149"/>
      <c r="B283" s="79"/>
      <c r="C283" s="78"/>
    </row>
    <row r="284" spans="1:3" x14ac:dyDescent="0.2">
      <c r="A284" s="149" t="s">
        <v>122</v>
      </c>
      <c r="B284" s="79">
        <v>1</v>
      </c>
      <c r="C284" s="78"/>
    </row>
    <row r="285" spans="1:3" x14ac:dyDescent="0.2">
      <c r="A285" s="149"/>
      <c r="B285" s="79"/>
      <c r="C285" s="78"/>
    </row>
    <row r="286" spans="1:3" x14ac:dyDescent="0.2">
      <c r="A286" s="149" t="s">
        <v>123</v>
      </c>
      <c r="B286" s="79">
        <v>1</v>
      </c>
      <c r="C286" s="78"/>
    </row>
    <row r="287" spans="1:3" x14ac:dyDescent="0.2">
      <c r="A287" s="149"/>
      <c r="B287" s="79"/>
      <c r="C287" s="78"/>
    </row>
    <row r="288" spans="1:3" x14ac:dyDescent="0.2">
      <c r="A288" s="149" t="s">
        <v>124</v>
      </c>
      <c r="B288" s="79" t="s">
        <v>133</v>
      </c>
      <c r="C288" s="78"/>
    </row>
    <row r="289" spans="1:3" x14ac:dyDescent="0.2">
      <c r="A289" s="149"/>
      <c r="B289" s="79"/>
      <c r="C289" s="78"/>
    </row>
    <row r="290" spans="1:3" x14ac:dyDescent="0.2">
      <c r="A290" s="149" t="s">
        <v>125</v>
      </c>
      <c r="B290" s="79" t="s">
        <v>133</v>
      </c>
      <c r="C290" s="78"/>
    </row>
    <row r="291" spans="1:3" x14ac:dyDescent="0.2">
      <c r="A291" s="149"/>
      <c r="B291" s="79"/>
      <c r="C291" s="78"/>
    </row>
    <row r="292" spans="1:3" x14ac:dyDescent="0.2">
      <c r="A292" s="149" t="s">
        <v>126</v>
      </c>
      <c r="B292" s="79">
        <v>1</v>
      </c>
      <c r="C292" s="78"/>
    </row>
    <row r="293" spans="1:3" x14ac:dyDescent="0.2">
      <c r="A293" s="149"/>
      <c r="B293" s="79"/>
      <c r="C293" s="78"/>
    </row>
    <row r="294" spans="1:3" x14ac:dyDescent="0.2">
      <c r="A294" s="149" t="s">
        <v>127</v>
      </c>
      <c r="B294" s="79">
        <v>1</v>
      </c>
      <c r="C294" s="78"/>
    </row>
    <row r="295" spans="1:3" x14ac:dyDescent="0.2">
      <c r="A295" s="149"/>
      <c r="B295" s="79"/>
      <c r="C295" s="78"/>
    </row>
    <row r="296" spans="1:3" x14ac:dyDescent="0.2">
      <c r="A296" s="149" t="s">
        <v>128</v>
      </c>
      <c r="B296" s="79" t="s">
        <v>133</v>
      </c>
      <c r="C296" s="78"/>
    </row>
    <row r="297" spans="1:3" x14ac:dyDescent="0.2">
      <c r="A297" s="149"/>
      <c r="B297" s="79"/>
      <c r="C297" s="78"/>
    </row>
    <row r="298" spans="1:3" x14ac:dyDescent="0.2">
      <c r="A298" s="149" t="s">
        <v>134</v>
      </c>
      <c r="B298" s="79" t="s">
        <v>133</v>
      </c>
      <c r="C298" s="78"/>
    </row>
    <row r="299" spans="1:3" x14ac:dyDescent="0.2">
      <c r="A299" s="149"/>
      <c r="B299" s="79"/>
      <c r="C299" s="78"/>
    </row>
    <row r="300" spans="1:3" x14ac:dyDescent="0.2">
      <c r="A300" s="149" t="s">
        <v>129</v>
      </c>
      <c r="B300" s="79"/>
      <c r="C300" s="78"/>
    </row>
    <row r="301" spans="1:3" x14ac:dyDescent="0.2">
      <c r="A301" s="149" t="s">
        <v>86</v>
      </c>
      <c r="B301" s="79">
        <v>1</v>
      </c>
      <c r="C301" s="78"/>
    </row>
    <row r="302" spans="1:3" x14ac:dyDescent="0.2">
      <c r="A302" s="149"/>
      <c r="B302" s="79"/>
      <c r="C302" s="78"/>
    </row>
    <row r="303" spans="1:3" x14ac:dyDescent="0.2">
      <c r="A303" s="149" t="s">
        <v>87</v>
      </c>
      <c r="B303" s="79">
        <v>1</v>
      </c>
      <c r="C303" s="78"/>
    </row>
    <row r="304" spans="1:3" x14ac:dyDescent="0.2">
      <c r="A304" s="149"/>
      <c r="B304" s="79"/>
      <c r="C304" s="78"/>
    </row>
    <row r="305" spans="1:3" x14ac:dyDescent="0.2">
      <c r="A305" s="149" t="s">
        <v>88</v>
      </c>
      <c r="B305" s="79">
        <v>1</v>
      </c>
      <c r="C305" s="78"/>
    </row>
    <row r="306" spans="1:3" x14ac:dyDescent="0.2">
      <c r="A306" s="149"/>
      <c r="B306" s="79"/>
      <c r="C306" s="78"/>
    </row>
    <row r="307" spans="1:3" x14ac:dyDescent="0.2">
      <c r="A307" s="149" t="s">
        <v>89</v>
      </c>
      <c r="B307" s="79">
        <v>1</v>
      </c>
      <c r="C307" s="78"/>
    </row>
    <row r="308" spans="1:3" x14ac:dyDescent="0.2">
      <c r="A308" s="149"/>
      <c r="B308" s="79"/>
      <c r="C308" s="78"/>
    </row>
    <row r="309" spans="1:3" x14ac:dyDescent="0.2">
      <c r="A309" s="149" t="s">
        <v>90</v>
      </c>
      <c r="B309" s="79">
        <v>1</v>
      </c>
      <c r="C309" s="78"/>
    </row>
    <row r="310" spans="1:3" x14ac:dyDescent="0.2">
      <c r="A310" s="149"/>
      <c r="B310" s="79"/>
      <c r="C310" s="78"/>
    </row>
    <row r="311" spans="1:3" x14ac:dyDescent="0.2">
      <c r="A311" s="149" t="s">
        <v>135</v>
      </c>
      <c r="B311" s="79">
        <v>1</v>
      </c>
      <c r="C311" s="78"/>
    </row>
    <row r="312" spans="1:3" x14ac:dyDescent="0.2">
      <c r="A312" s="149"/>
      <c r="B312" s="79"/>
      <c r="C312" s="78"/>
    </row>
    <row r="313" spans="1:3" x14ac:dyDescent="0.2">
      <c r="A313" s="149" t="s">
        <v>136</v>
      </c>
      <c r="B313" s="79">
        <v>1</v>
      </c>
      <c r="C313" s="78"/>
    </row>
    <row r="314" spans="1:3" x14ac:dyDescent="0.2">
      <c r="A314" s="149"/>
      <c r="B314" s="79"/>
      <c r="C314" s="78"/>
    </row>
    <row r="315" spans="1:3" x14ac:dyDescent="0.2">
      <c r="A315" s="149" t="s">
        <v>240</v>
      </c>
      <c r="B315" s="79">
        <v>1</v>
      </c>
      <c r="C315" s="78"/>
    </row>
    <row r="316" spans="1:3" x14ac:dyDescent="0.2">
      <c r="A316" s="149"/>
      <c r="B316" s="79"/>
      <c r="C316" s="78"/>
    </row>
    <row r="317" spans="1:3" x14ac:dyDescent="0.2">
      <c r="A317" s="149"/>
      <c r="B317" s="79"/>
      <c r="C317" s="78"/>
    </row>
    <row r="318" spans="1:3" x14ac:dyDescent="0.2">
      <c r="A318" s="149"/>
      <c r="B318" s="79"/>
      <c r="C318" s="78"/>
    </row>
    <row r="319" spans="1:3" x14ac:dyDescent="0.2">
      <c r="A319" s="149" t="s">
        <v>88</v>
      </c>
      <c r="B319" s="79">
        <v>1</v>
      </c>
      <c r="C319" s="78"/>
    </row>
    <row r="320" spans="1:3" x14ac:dyDescent="0.2">
      <c r="A320" s="149"/>
      <c r="B320" s="79"/>
      <c r="C320" s="78"/>
    </row>
    <row r="321" spans="1:3" x14ac:dyDescent="0.2">
      <c r="A321" s="149" t="s">
        <v>89</v>
      </c>
      <c r="B321" s="79">
        <v>1</v>
      </c>
      <c r="C321" s="78"/>
    </row>
    <row r="322" spans="1:3" x14ac:dyDescent="0.2">
      <c r="A322" s="149"/>
      <c r="B322" s="79"/>
      <c r="C322" s="78"/>
    </row>
    <row r="323" spans="1:3" x14ac:dyDescent="0.2">
      <c r="A323" s="149" t="s">
        <v>90</v>
      </c>
      <c r="B323" s="79">
        <v>1</v>
      </c>
      <c r="C323" s="78"/>
    </row>
    <row r="324" spans="1:3" x14ac:dyDescent="0.2">
      <c r="A324" s="149"/>
      <c r="B324" s="79"/>
      <c r="C324" s="78"/>
    </row>
    <row r="325" spans="1:3" x14ac:dyDescent="0.2">
      <c r="A325" s="149" t="s">
        <v>135</v>
      </c>
      <c r="B325" s="79">
        <v>1</v>
      </c>
      <c r="C325" s="78"/>
    </row>
    <row r="326" spans="1:3" x14ac:dyDescent="0.2">
      <c r="A326" s="149"/>
      <c r="B326" s="79"/>
      <c r="C326" s="78"/>
    </row>
    <row r="327" spans="1:3" x14ac:dyDescent="0.2">
      <c r="A327" s="149" t="s">
        <v>136</v>
      </c>
      <c r="B327" s="79">
        <v>1</v>
      </c>
      <c r="C327" s="78"/>
    </row>
    <row r="508" spans="19:19" x14ac:dyDescent="0.2">
      <c r="S508" s="40"/>
    </row>
  </sheetData>
  <sheetProtection sheet="1" objects="1" scenarios="1"/>
  <mergeCells count="1">
    <mergeCell ref="M1:O1"/>
  </mergeCells>
  <phoneticPr fontId="0" type="noConversion"/>
  <printOptions gridLines="1" gridLinesSet="0"/>
  <pageMargins left="0.2" right="0.22" top="0.81" bottom="1" header="0.5" footer="0.5"/>
  <pageSetup scale="55" orientation="landscape" horizontalDpi="4294967292" verticalDpi="4294967292" r:id="rId1"/>
  <headerFooter alignWithMargins="0">
    <oddHeader>&amp;F</oddHeader>
    <oddFooter>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37"/>
  <sheetViews>
    <sheetView workbookViewId="0">
      <selection activeCell="C3" sqref="C3"/>
    </sheetView>
  </sheetViews>
  <sheetFormatPr defaultRowHeight="15" customHeight="1" x14ac:dyDescent="0.2"/>
  <cols>
    <col min="1" max="1" width="9.140625" style="34"/>
    <col min="2" max="2" width="27.140625" style="34" customWidth="1"/>
    <col min="3" max="3" width="13.5703125" style="34" customWidth="1"/>
    <col min="4" max="6" width="9.140625" style="34"/>
    <col min="7" max="7" width="11.7109375" style="34" customWidth="1"/>
    <col min="8" max="8" width="9.85546875" style="34" customWidth="1"/>
    <col min="9" max="14" width="9.140625" style="34"/>
    <col min="15" max="15" width="20" style="34" customWidth="1"/>
    <col min="16" max="16" width="9.140625" style="34"/>
    <col min="17" max="17" width="17.28515625" style="34" bestFit="1" customWidth="1"/>
    <col min="18" max="16384" width="9.140625" style="34"/>
  </cols>
  <sheetData>
    <row r="2" spans="2:16" ht="15" customHeight="1" x14ac:dyDescent="0.25">
      <c r="B2" s="102" t="s">
        <v>145</v>
      </c>
      <c r="E2" s="63" t="s">
        <v>144</v>
      </c>
    </row>
    <row r="3" spans="2:16" ht="15" customHeight="1" x14ac:dyDescent="0.2">
      <c r="B3" s="64" t="s">
        <v>275</v>
      </c>
      <c r="C3" s="207" t="s">
        <v>276</v>
      </c>
      <c r="E3" s="34" t="s">
        <v>153</v>
      </c>
      <c r="O3" s="34" t="s">
        <v>187</v>
      </c>
    </row>
    <row r="4" spans="2:16" ht="15" customHeight="1" x14ac:dyDescent="0.2">
      <c r="B4" s="64" t="s">
        <v>146</v>
      </c>
      <c r="C4" s="207" t="s">
        <v>276</v>
      </c>
      <c r="E4" s="211" t="b">
        <v>1</v>
      </c>
      <c r="F4" s="283" t="s">
        <v>349</v>
      </c>
      <c r="G4" s="283"/>
      <c r="H4" s="283"/>
      <c r="I4" s="283"/>
      <c r="J4" s="283"/>
      <c r="K4" s="283"/>
      <c r="L4" s="283"/>
      <c r="M4" s="283"/>
      <c r="O4" s="215">
        <v>-0.75282499999999997</v>
      </c>
      <c r="P4" s="214"/>
    </row>
    <row r="5" spans="2:16" ht="15" customHeight="1" x14ac:dyDescent="0.2">
      <c r="B5" s="65" t="s">
        <v>24</v>
      </c>
      <c r="C5" s="205">
        <v>1.0854153750565001E-2</v>
      </c>
      <c r="E5" s="211" t="b">
        <v>0</v>
      </c>
      <c r="F5" s="283" t="s">
        <v>350</v>
      </c>
      <c r="G5" s="283"/>
      <c r="H5" s="283"/>
      <c r="I5" s="283"/>
      <c r="J5" s="283"/>
      <c r="K5" s="283"/>
      <c r="L5" s="283"/>
      <c r="M5" s="283"/>
      <c r="O5" s="215">
        <v>-0.75249299999999997</v>
      </c>
      <c r="P5" s="214"/>
    </row>
    <row r="6" spans="2:16" ht="15" customHeight="1" x14ac:dyDescent="0.2">
      <c r="B6" s="65" t="s">
        <v>147</v>
      </c>
      <c r="C6" s="206">
        <v>1.0512677509193012E-3</v>
      </c>
      <c r="E6" s="211" t="b">
        <v>0</v>
      </c>
      <c r="F6" s="283" t="s">
        <v>351</v>
      </c>
      <c r="G6" s="283"/>
      <c r="H6" s="283"/>
      <c r="I6" s="283"/>
      <c r="J6" s="283"/>
      <c r="K6" s="283"/>
      <c r="L6" s="283"/>
      <c r="M6" s="283"/>
      <c r="O6" s="215">
        <v>-0.75260199999999999</v>
      </c>
      <c r="P6" s="214"/>
    </row>
    <row r="7" spans="2:16" ht="15" customHeight="1" x14ac:dyDescent="0.2">
      <c r="B7" s="66" t="s">
        <v>148</v>
      </c>
      <c r="C7" s="206">
        <v>2.3891917134512199E-2</v>
      </c>
      <c r="E7" s="212" t="b">
        <v>1</v>
      </c>
      <c r="F7" s="281" t="s">
        <v>233</v>
      </c>
      <c r="G7" s="281"/>
      <c r="H7" s="281"/>
      <c r="I7" s="281"/>
      <c r="J7" s="281"/>
      <c r="K7" s="281"/>
      <c r="L7" s="281"/>
      <c r="M7" s="281"/>
      <c r="O7" s="215">
        <v>-0.75256500000000004</v>
      </c>
      <c r="P7" s="214"/>
    </row>
    <row r="8" spans="2:16" ht="15" customHeight="1" x14ac:dyDescent="0.2">
      <c r="B8" s="64" t="s">
        <v>274</v>
      </c>
      <c r="C8" s="206">
        <v>0.10369758753629101</v>
      </c>
      <c r="E8" s="201"/>
      <c r="F8" s="282"/>
      <c r="G8" s="282"/>
      <c r="H8" s="282"/>
      <c r="I8" s="282"/>
      <c r="J8" s="282"/>
      <c r="K8" s="282"/>
      <c r="L8" s="282"/>
      <c r="M8" s="282"/>
      <c r="O8" s="215">
        <v>-0.75243000000000004</v>
      </c>
      <c r="P8" s="214"/>
    </row>
    <row r="9" spans="2:16" ht="15" customHeight="1" x14ac:dyDescent="0.2">
      <c r="B9" s="64" t="s">
        <v>149</v>
      </c>
      <c r="C9" s="216">
        <f>Air_Voltage-C8</f>
        <v>-0.85623028753629105</v>
      </c>
      <c r="D9" s="33"/>
      <c r="E9" s="35"/>
      <c r="O9" s="215">
        <v>-0.752471</v>
      </c>
      <c r="P9" s="214"/>
    </row>
    <row r="10" spans="2:16" ht="15" customHeight="1" x14ac:dyDescent="0.25">
      <c r="B10" s="64" t="s">
        <v>186</v>
      </c>
      <c r="C10" s="216">
        <f>AVERAGE(O4:O13)</f>
        <v>-0.75253270000000005</v>
      </c>
      <c r="E10" s="102" t="s">
        <v>185</v>
      </c>
      <c r="O10" s="215">
        <v>-0.75240499999999999</v>
      </c>
      <c r="P10" s="214"/>
    </row>
    <row r="11" spans="2:16" ht="15" customHeight="1" x14ac:dyDescent="0.2">
      <c r="E11" s="211" t="b">
        <v>1</v>
      </c>
      <c r="F11" s="280" t="s">
        <v>261</v>
      </c>
      <c r="G11" s="280"/>
      <c r="H11" s="280"/>
      <c r="I11" s="280"/>
      <c r="J11" s="280"/>
      <c r="K11" s="280"/>
      <c r="L11" s="280"/>
      <c r="M11" s="280"/>
      <c r="O11" s="215">
        <v>-0.75251500000000004</v>
      </c>
      <c r="P11" s="214"/>
    </row>
    <row r="12" spans="2:16" ht="15" customHeight="1" x14ac:dyDescent="0.25">
      <c r="B12" s="102" t="s">
        <v>13</v>
      </c>
      <c r="E12" s="35" t="str">
        <f>IF(OR(E7,E11),"","Warning no data will be saved after a measurement!!! Neither to summary or as a full sheet")</f>
        <v/>
      </c>
      <c r="O12" s="215">
        <v>-0.75253999999999999</v>
      </c>
      <c r="P12" s="214"/>
    </row>
    <row r="13" spans="2:16" ht="15" customHeight="1" x14ac:dyDescent="0.25">
      <c r="B13" s="65" t="s">
        <v>151</v>
      </c>
      <c r="C13" s="205">
        <v>1.6600000000000001E-30</v>
      </c>
      <c r="E13" s="172" t="s">
        <v>236</v>
      </c>
      <c r="F13" s="173"/>
      <c r="G13" s="173"/>
      <c r="H13" s="173"/>
      <c r="I13" s="173"/>
      <c r="J13" s="173"/>
      <c r="K13" s="173"/>
      <c r="L13" s="173"/>
      <c r="M13" s="173"/>
      <c r="O13" s="215">
        <v>-0.75248099999999996</v>
      </c>
      <c r="P13" s="214"/>
    </row>
    <row r="14" spans="2:16" ht="15" customHeight="1" x14ac:dyDescent="0.2">
      <c r="B14" s="67" t="s">
        <v>154</v>
      </c>
      <c r="C14" s="207" t="s">
        <v>49</v>
      </c>
      <c r="E14" s="213" t="b">
        <v>1</v>
      </c>
      <c r="F14" s="277" t="s">
        <v>235</v>
      </c>
      <c r="G14" s="277"/>
      <c r="H14" s="277"/>
      <c r="I14" s="277"/>
      <c r="J14" s="277"/>
      <c r="K14" s="277"/>
      <c r="L14" s="277"/>
      <c r="M14" s="277"/>
      <c r="O14" s="34" t="s">
        <v>271</v>
      </c>
    </row>
    <row r="15" spans="2:16" ht="15" customHeight="1" x14ac:dyDescent="0.2">
      <c r="B15" s="65" t="s">
        <v>150</v>
      </c>
      <c r="C15" s="207">
        <v>1</v>
      </c>
      <c r="E15" s="171"/>
      <c r="F15" s="195"/>
      <c r="G15" s="195"/>
      <c r="H15" s="195"/>
      <c r="I15" s="195"/>
      <c r="J15" s="195"/>
      <c r="K15" s="195"/>
      <c r="L15" s="195"/>
      <c r="M15" s="195"/>
      <c r="O15" s="226">
        <f>STDEV(O4:O13)</f>
        <v>1.1858522486192547E-4</v>
      </c>
    </row>
    <row r="16" spans="2:16" ht="15" customHeight="1" x14ac:dyDescent="0.25">
      <c r="B16" s="65" t="s">
        <v>2</v>
      </c>
      <c r="C16" s="208">
        <v>0.3</v>
      </c>
      <c r="E16" s="172" t="s">
        <v>237</v>
      </c>
      <c r="F16" s="174"/>
      <c r="G16" s="174"/>
      <c r="H16" s="174"/>
      <c r="I16" s="174"/>
      <c r="J16" s="174"/>
      <c r="K16" s="174"/>
      <c r="L16" s="174"/>
      <c r="M16" s="174"/>
      <c r="O16" s="34" t="s">
        <v>266</v>
      </c>
    </row>
    <row r="17" spans="2:15" ht="15" customHeight="1" x14ac:dyDescent="0.2">
      <c r="E17" s="211" t="b">
        <v>1</v>
      </c>
      <c r="F17" s="280" t="s">
        <v>238</v>
      </c>
      <c r="G17" s="280"/>
      <c r="H17" s="280"/>
      <c r="I17" s="280"/>
      <c r="J17" s="280"/>
      <c r="K17" s="280"/>
      <c r="L17" s="280"/>
      <c r="M17" s="280"/>
      <c r="O17" s="227">
        <v>41457.664641203701</v>
      </c>
    </row>
    <row r="18" spans="2:15" ht="15" customHeight="1" x14ac:dyDescent="0.25">
      <c r="B18" s="102" t="s">
        <v>179</v>
      </c>
      <c r="O18" s="219"/>
    </row>
    <row r="19" spans="2:15" ht="15" customHeight="1" x14ac:dyDescent="0.25">
      <c r="B19" s="194" t="s">
        <v>180</v>
      </c>
      <c r="C19" s="64" t="b">
        <v>0</v>
      </c>
      <c r="E19" s="102" t="s">
        <v>231</v>
      </c>
    </row>
    <row r="20" spans="2:15" ht="15" customHeight="1" x14ac:dyDescent="0.2">
      <c r="B20" s="194" t="s">
        <v>181</v>
      </c>
      <c r="C20" s="64">
        <v>1</v>
      </c>
      <c r="E20" s="64">
        <v>10</v>
      </c>
      <c r="F20" s="278" t="s">
        <v>228</v>
      </c>
      <c r="G20" s="278"/>
      <c r="H20" s="278"/>
      <c r="I20" s="278"/>
      <c r="J20" s="278"/>
      <c r="K20" s="278"/>
      <c r="L20" s="278"/>
      <c r="M20" s="279"/>
    </row>
    <row r="21" spans="2:15" ht="15" customHeight="1" x14ac:dyDescent="0.2">
      <c r="B21" s="194" t="s">
        <v>182</v>
      </c>
      <c r="C21" s="64">
        <v>20</v>
      </c>
      <c r="E21" s="64">
        <f>6</f>
        <v>6</v>
      </c>
      <c r="F21" s="280" t="s">
        <v>229</v>
      </c>
      <c r="G21" s="280"/>
      <c r="H21" s="280"/>
      <c r="I21" s="280"/>
      <c r="J21" s="280"/>
      <c r="K21" s="280"/>
      <c r="L21" s="280"/>
      <c r="M21" s="280"/>
    </row>
    <row r="22" spans="2:15" ht="15" customHeight="1" x14ac:dyDescent="0.2">
      <c r="B22" s="194" t="s">
        <v>183</v>
      </c>
      <c r="C22" s="64" t="str">
        <f>PassFail(MeasuredLifetimeAuger,MinTauLimit,MaxTauLimit,TF_PassFail)</f>
        <v/>
      </c>
      <c r="E22" s="209">
        <v>0.3</v>
      </c>
      <c r="F22" s="281" t="s">
        <v>230</v>
      </c>
      <c r="G22" s="281"/>
      <c r="H22" s="281"/>
      <c r="I22" s="281"/>
      <c r="J22" s="281"/>
      <c r="K22" s="281"/>
      <c r="L22" s="281"/>
      <c r="M22" s="281"/>
    </row>
    <row r="23" spans="2:15" ht="15" customHeight="1" x14ac:dyDescent="0.2">
      <c r="E23" s="170"/>
      <c r="F23" s="282"/>
      <c r="G23" s="282"/>
      <c r="H23" s="282"/>
      <c r="I23" s="282"/>
      <c r="J23" s="282"/>
      <c r="K23" s="282"/>
      <c r="L23" s="282"/>
      <c r="M23" s="282"/>
    </row>
    <row r="24" spans="2:15" ht="15" customHeight="1" x14ac:dyDescent="0.25">
      <c r="E24" s="102" t="s">
        <v>232</v>
      </c>
      <c r="K24" s="35"/>
    </row>
    <row r="25" spans="2:15" ht="15" customHeight="1" x14ac:dyDescent="0.2">
      <c r="E25" s="64">
        <v>1</v>
      </c>
      <c r="F25" s="285" t="s">
        <v>216</v>
      </c>
      <c r="G25" s="278"/>
      <c r="H25" s="278"/>
      <c r="I25" s="278"/>
      <c r="J25" s="278"/>
      <c r="K25" s="278"/>
      <c r="L25" s="278"/>
      <c r="M25" s="279"/>
    </row>
    <row r="27" spans="2:15" ht="15" customHeight="1" x14ac:dyDescent="0.25">
      <c r="E27" s="102" t="s">
        <v>265</v>
      </c>
      <c r="K27" s="35"/>
    </row>
    <row r="28" spans="2:15" ht="15" customHeight="1" x14ac:dyDescent="0.2">
      <c r="E28" s="207">
        <v>12500</v>
      </c>
      <c r="F28" s="284" t="s">
        <v>262</v>
      </c>
      <c r="G28" s="284"/>
      <c r="H28" s="284"/>
      <c r="I28" s="284"/>
      <c r="J28" s="284"/>
      <c r="K28" s="284"/>
      <c r="L28" s="284"/>
      <c r="M28" s="284"/>
    </row>
    <row r="29" spans="2:15" ht="15" customHeight="1" x14ac:dyDescent="0.2">
      <c r="E29" s="207">
        <v>100000</v>
      </c>
      <c r="F29" s="284" t="s">
        <v>263</v>
      </c>
      <c r="G29" s="284"/>
      <c r="H29" s="284"/>
      <c r="I29" s="284"/>
      <c r="J29" s="284"/>
      <c r="K29" s="284"/>
      <c r="L29" s="284"/>
      <c r="M29" s="284"/>
    </row>
    <row r="30" spans="2:15" ht="15" customHeight="1" x14ac:dyDescent="0.2">
      <c r="C30" s="62"/>
      <c r="E30" s="207">
        <v>3</v>
      </c>
      <c r="F30" s="284" t="s">
        <v>264</v>
      </c>
      <c r="G30" s="284"/>
      <c r="H30" s="284"/>
      <c r="I30" s="284"/>
      <c r="J30" s="284"/>
      <c r="K30" s="284"/>
      <c r="L30" s="284"/>
      <c r="M30" s="284"/>
    </row>
    <row r="31" spans="2:15" ht="15" customHeight="1" x14ac:dyDescent="0.2">
      <c r="C31" s="62"/>
      <c r="K31" s="35"/>
    </row>
    <row r="32" spans="2:15" ht="15" customHeight="1" x14ac:dyDescent="0.2">
      <c r="C32" s="62"/>
      <c r="K32" s="35"/>
    </row>
    <row r="33" spans="3:11" ht="15" customHeight="1" x14ac:dyDescent="0.2">
      <c r="C33" s="62"/>
      <c r="K33" s="35"/>
    </row>
    <row r="34" spans="3:11" ht="15" customHeight="1" x14ac:dyDescent="0.2">
      <c r="C34" s="35"/>
      <c r="K34" s="35"/>
    </row>
    <row r="35" spans="3:11" ht="15" customHeight="1" x14ac:dyDescent="0.2">
      <c r="K35" s="35"/>
    </row>
    <row r="37" spans="3:11" ht="15" customHeight="1" x14ac:dyDescent="0.2">
      <c r="F37" s="49"/>
    </row>
  </sheetData>
  <sheetProtection sheet="1" objects="1" scenarios="1" selectLockedCells="1"/>
  <mergeCells count="16">
    <mergeCell ref="F28:M28"/>
    <mergeCell ref="F29:M29"/>
    <mergeCell ref="F30:M30"/>
    <mergeCell ref="F25:M25"/>
    <mergeCell ref="F17:M17"/>
    <mergeCell ref="F11:M11"/>
    <mergeCell ref="F4:M4"/>
    <mergeCell ref="F5:M5"/>
    <mergeCell ref="F6:M6"/>
    <mergeCell ref="F7:M7"/>
    <mergeCell ref="F8:M8"/>
    <mergeCell ref="F14:M14"/>
    <mergeCell ref="F20:M20"/>
    <mergeCell ref="F21:M21"/>
    <mergeCell ref="F22:M22"/>
    <mergeCell ref="F23:M23"/>
  </mergeCells>
  <dataValidations disablePrompts="1" count="2">
    <dataValidation type="list" allowBlank="1" showInputMessage="1" showErrorMessage="1" sqref="C19 E17 E11 E4:E7 E14">
      <formula1>TF_List</formula1>
    </dataValidation>
    <dataValidation type="list" allowBlank="1" showInputMessage="1" showErrorMessage="1" sqref="E25">
      <formula1>VRangeList</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24"/>
  <sheetViews>
    <sheetView workbookViewId="0"/>
  </sheetViews>
  <sheetFormatPr defaultRowHeight="12.75" x14ac:dyDescent="0.2"/>
  <cols>
    <col min="1" max="1" width="9.28515625" style="113" bestFit="1" customWidth="1"/>
    <col min="2" max="2" width="12.140625" style="113" customWidth="1"/>
    <col min="3" max="3" width="12" style="113" customWidth="1"/>
    <col min="4" max="4" width="9.28515625" style="113" bestFit="1" customWidth="1"/>
    <col min="5" max="5" width="11.42578125" style="113" bestFit="1" customWidth="1"/>
    <col min="6" max="6" width="9.28515625" style="113" bestFit="1" customWidth="1"/>
    <col min="7" max="7" width="13.42578125" style="113" customWidth="1"/>
    <col min="8" max="8" width="9.28515625" style="113" bestFit="1" customWidth="1"/>
    <col min="9" max="9" width="11.140625" style="113" customWidth="1"/>
    <col min="10" max="12" width="9.140625" style="113"/>
    <col min="13" max="13" width="10.42578125" style="113" customWidth="1"/>
    <col min="14" max="14" width="11.140625" style="114" customWidth="1"/>
    <col min="15" max="16" width="9.140625" style="113"/>
    <col min="17" max="17" width="9.28515625" style="113" bestFit="1" customWidth="1"/>
    <col min="18" max="18" width="12.28515625" style="113" customWidth="1"/>
    <col min="19" max="19" width="9.28515625" style="113" bestFit="1" customWidth="1"/>
    <col min="20" max="20" width="10.5703125" style="113" customWidth="1"/>
    <col min="21" max="21" width="9.7109375" style="113" bestFit="1" customWidth="1"/>
    <col min="22" max="22" width="12" style="113" customWidth="1"/>
    <col min="23" max="23" width="13.140625" style="113" customWidth="1"/>
    <col min="24" max="16384" width="9.140625" style="113"/>
  </cols>
  <sheetData>
    <row r="1" spans="1:23" s="112" customFormat="1" ht="27" customHeight="1" x14ac:dyDescent="0.2">
      <c r="A1" s="133" t="s">
        <v>14</v>
      </c>
      <c r="B1" s="134" t="s">
        <v>190</v>
      </c>
      <c r="C1" s="135" t="s">
        <v>191</v>
      </c>
      <c r="D1" s="136" t="s">
        <v>184</v>
      </c>
      <c r="E1" s="136" t="s">
        <v>192</v>
      </c>
      <c r="F1" s="136" t="s">
        <v>20</v>
      </c>
      <c r="G1" s="136" t="s">
        <v>193</v>
      </c>
      <c r="H1" s="136" t="s">
        <v>194</v>
      </c>
      <c r="I1" s="136" t="s">
        <v>137</v>
      </c>
      <c r="J1" s="136" t="s">
        <v>195</v>
      </c>
      <c r="K1" s="136" t="s">
        <v>29</v>
      </c>
      <c r="L1" s="136" t="s">
        <v>28</v>
      </c>
      <c r="M1" s="137" t="s">
        <v>0</v>
      </c>
      <c r="N1" s="136" t="s">
        <v>1</v>
      </c>
      <c r="O1" s="136" t="s">
        <v>44</v>
      </c>
      <c r="P1" s="136" t="s">
        <v>43</v>
      </c>
      <c r="Q1" s="137" t="s">
        <v>21</v>
      </c>
      <c r="R1" s="229" t="s">
        <v>272</v>
      </c>
      <c r="S1" s="136" t="s">
        <v>199</v>
      </c>
      <c r="T1" s="136" t="s">
        <v>196</v>
      </c>
      <c r="U1" s="136" t="s">
        <v>197</v>
      </c>
      <c r="V1" s="136" t="s">
        <v>198</v>
      </c>
      <c r="W1" s="138" t="s">
        <v>208</v>
      </c>
    </row>
    <row r="2" spans="1:23" ht="21.75" customHeight="1" x14ac:dyDescent="0.2">
      <c r="A2" s="122" t="str">
        <f>SampleNameUserSheet</f>
        <v>jun-dq07</v>
      </c>
      <c r="B2" s="123">
        <f>MeasDate</f>
        <v>41459</v>
      </c>
      <c r="C2" s="124">
        <f>MeasTime</f>
        <v>0.37710648148148151</v>
      </c>
      <c r="D2" s="125">
        <f>Thickness</f>
        <v>0.05</v>
      </c>
      <c r="E2" s="126">
        <f>SampleDoping</f>
        <v>44279440842219.18</v>
      </c>
      <c r="F2" s="126">
        <f>OptConst</f>
        <v>0.96</v>
      </c>
      <c r="G2" s="127">
        <f>SpecMCD</f>
        <v>1000000000000000</v>
      </c>
      <c r="H2" s="126">
        <f>BiasLight</f>
        <v>0</v>
      </c>
      <c r="I2" s="126" t="str">
        <f>AnalysisMode</f>
        <v>Transient</v>
      </c>
      <c r="J2" s="128">
        <f ca="1">MeasuredLifetimeAuger</f>
        <v>1330.9507444261028</v>
      </c>
      <c r="K2" s="129">
        <f ca="1">Jo</f>
        <v>3.4705416346727559E-13</v>
      </c>
      <c r="L2" s="130">
        <f ca="1">TauFitIntercept</f>
        <v>7160.2103210747828</v>
      </c>
      <c r="M2" s="130">
        <f>SheetResistance</f>
        <v>14.83350947029877</v>
      </c>
      <c r="N2" s="130">
        <f>MeasuredResistivity</f>
        <v>0.74167547351493857</v>
      </c>
      <c r="O2" s="128">
        <f>MaxSuns</f>
        <v>15.350713084502495</v>
      </c>
      <c r="P2" s="129">
        <f ca="1">Traps</f>
        <v>0</v>
      </c>
      <c r="Q2" s="129">
        <f>MaxApparentCD</f>
        <v>1.1361453349339568E+16</v>
      </c>
      <c r="R2" s="228" t="e">
        <f ca="1">ImpliedVoc1sun</f>
        <v>#NAME?</v>
      </c>
      <c r="S2" s="129">
        <f>RefCellCal</f>
        <v>1.0854153750565001E-2</v>
      </c>
      <c r="T2" s="131">
        <f>A_cal</f>
        <v>1.0512677509193012E-3</v>
      </c>
      <c r="U2" s="131">
        <f>B_cal</f>
        <v>2.3891917134512199E-2</v>
      </c>
      <c r="V2" s="126">
        <f>C_cal</f>
        <v>-0.85623028753629105</v>
      </c>
      <c r="W2" s="132" t="str">
        <f>InstrumentSN</f>
        <v>WCT-120</v>
      </c>
    </row>
    <row r="4" spans="1:23" x14ac:dyDescent="0.2">
      <c r="A4" s="115" t="s">
        <v>131</v>
      </c>
      <c r="G4" s="116"/>
    </row>
    <row r="5" spans="1:23" x14ac:dyDescent="0.2">
      <c r="A5" s="115" t="s">
        <v>27</v>
      </c>
      <c r="N5" s="113"/>
    </row>
    <row r="6" spans="1:23" x14ac:dyDescent="0.2">
      <c r="A6" s="115" t="s">
        <v>30</v>
      </c>
    </row>
    <row r="8" spans="1:23" x14ac:dyDescent="0.2">
      <c r="A8" s="113" t="s">
        <v>41</v>
      </c>
    </row>
    <row r="9" spans="1:23" x14ac:dyDescent="0.2">
      <c r="A9" s="113" t="s">
        <v>42</v>
      </c>
    </row>
    <row r="10" spans="1:23" s="117" customFormat="1" x14ac:dyDescent="0.2">
      <c r="A10" s="117" t="s">
        <v>32</v>
      </c>
      <c r="B10" s="117" t="s">
        <v>15</v>
      </c>
      <c r="C10" s="117" t="s">
        <v>19</v>
      </c>
      <c r="D10" s="117" t="s">
        <v>33</v>
      </c>
      <c r="E10" s="117" t="s">
        <v>34</v>
      </c>
      <c r="F10" s="117" t="s">
        <v>200</v>
      </c>
      <c r="G10" s="117" t="s">
        <v>201</v>
      </c>
      <c r="H10" s="117" t="s">
        <v>202</v>
      </c>
      <c r="I10" s="117" t="s">
        <v>35</v>
      </c>
      <c r="J10" s="117" t="s">
        <v>36</v>
      </c>
      <c r="K10" s="117" t="s">
        <v>40</v>
      </c>
      <c r="L10" s="117" t="s">
        <v>39</v>
      </c>
      <c r="M10" s="117" t="s">
        <v>37</v>
      </c>
      <c r="N10" s="117" t="s">
        <v>38</v>
      </c>
      <c r="O10" s="117" t="s">
        <v>45</v>
      </c>
      <c r="P10" s="117" t="s">
        <v>43</v>
      </c>
      <c r="Q10" s="118" t="s">
        <v>46</v>
      </c>
      <c r="R10" s="117" t="s">
        <v>273</v>
      </c>
      <c r="S10" s="117" t="s">
        <v>203</v>
      </c>
      <c r="T10" s="117" t="s">
        <v>204</v>
      </c>
      <c r="U10" s="117" t="s">
        <v>205</v>
      </c>
      <c r="V10" s="117" t="s">
        <v>206</v>
      </c>
      <c r="W10" s="117" t="s">
        <v>207</v>
      </c>
    </row>
    <row r="11" spans="1:23" x14ac:dyDescent="0.2">
      <c r="C11" s="119"/>
      <c r="D11" s="119"/>
    </row>
    <row r="20" spans="2:7" s="120" customFormat="1" x14ac:dyDescent="0.2">
      <c r="C20" s="121"/>
      <c r="D20" s="119"/>
    </row>
    <row r="24" spans="2:7" x14ac:dyDescent="0.2">
      <c r="B24" s="120"/>
      <c r="C24" s="121"/>
      <c r="D24" s="119"/>
      <c r="E24" s="120"/>
      <c r="F24" s="120"/>
      <c r="G24" s="120"/>
    </row>
  </sheetData>
  <phoneticPr fontId="5"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Z226"/>
  <sheetViews>
    <sheetView tabSelected="1" workbookViewId="0">
      <selection activeCell="A4" sqref="A4"/>
    </sheetView>
  </sheetViews>
  <sheetFormatPr defaultRowHeight="12.75" x14ac:dyDescent="0.2"/>
  <cols>
    <col min="1" max="1" width="15.42578125" customWidth="1"/>
    <col min="2" max="2" width="21.28515625" customWidth="1"/>
    <col min="3" max="3" width="11.5703125" customWidth="1"/>
    <col min="4" max="5" width="12.42578125" bestFit="1" customWidth="1"/>
    <col min="6" max="6" width="10" customWidth="1"/>
    <col min="7" max="7" width="15.140625" customWidth="1"/>
    <col min="8" max="8" width="22.140625" customWidth="1"/>
    <col min="9" max="9" width="9.28515625" bestFit="1" customWidth="1"/>
  </cols>
  <sheetData>
    <row r="1" spans="1:26" ht="38.25" x14ac:dyDescent="0.2">
      <c r="A1" s="233" t="s">
        <v>316</v>
      </c>
      <c r="B1" s="233" t="s">
        <v>55</v>
      </c>
      <c r="C1" s="233" t="s">
        <v>56</v>
      </c>
      <c r="D1" s="233" t="s">
        <v>164</v>
      </c>
      <c r="E1" s="233" t="s">
        <v>166</v>
      </c>
      <c r="F1" s="233" t="s">
        <v>165</v>
      </c>
      <c r="G1" s="233" t="s">
        <v>11</v>
      </c>
      <c r="H1" s="233" t="s">
        <v>338</v>
      </c>
      <c r="I1" s="233" t="s">
        <v>337</v>
      </c>
      <c r="J1" s="231"/>
      <c r="K1" s="230"/>
      <c r="L1" s="230"/>
      <c r="M1" s="230"/>
      <c r="N1" s="230"/>
      <c r="O1" s="230"/>
      <c r="P1" s="230"/>
      <c r="Q1" s="230"/>
      <c r="R1" s="230"/>
      <c r="S1" s="230"/>
      <c r="T1" s="230"/>
      <c r="U1" s="230"/>
      <c r="V1" s="230"/>
      <c r="W1" s="230"/>
      <c r="X1" s="230"/>
      <c r="Y1" s="230"/>
      <c r="Z1" s="230"/>
    </row>
    <row r="2" spans="1:26" x14ac:dyDescent="0.2">
      <c r="A2" s="232">
        <f>Calc!A9</f>
        <v>4.9920000000000003E-5</v>
      </c>
      <c r="B2" s="232">
        <f>Calc!B9</f>
        <v>1.60948</v>
      </c>
      <c r="C2" s="231">
        <f>Calc!C9</f>
        <v>0.16661899999999999</v>
      </c>
      <c r="D2" s="231">
        <f>Calc!G9</f>
        <v>3648489763249337</v>
      </c>
      <c r="E2" s="231">
        <f>Calc!L9</f>
        <v>0</v>
      </c>
      <c r="F2" s="231">
        <f>Calc!O9</f>
        <v>0</v>
      </c>
      <c r="G2" s="231">
        <f ca="1">Calc!T9</f>
        <v>3648489763249337</v>
      </c>
      <c r="H2" s="231" t="e">
        <f ca="1">Calc!V9</f>
        <v>#NAME?</v>
      </c>
      <c r="I2" s="231" t="str">
        <f>Calc!W9</f>
        <v/>
      </c>
      <c r="J2" s="231"/>
      <c r="K2" s="230"/>
      <c r="L2" s="230"/>
      <c r="M2" s="230"/>
      <c r="N2" s="230"/>
      <c r="O2" s="230"/>
      <c r="P2" s="230"/>
      <c r="Q2" s="230"/>
      <c r="R2" s="230"/>
      <c r="S2" s="230"/>
      <c r="T2" s="230"/>
      <c r="U2" s="230"/>
      <c r="V2" s="230"/>
      <c r="W2" s="230"/>
      <c r="X2" s="230"/>
      <c r="Y2" s="230"/>
      <c r="Z2" s="230"/>
    </row>
    <row r="3" spans="1:26" x14ac:dyDescent="0.2">
      <c r="A3" s="232">
        <f>Calc!A10</f>
        <v>1.4992E-4</v>
      </c>
      <c r="B3" s="232">
        <f>Calc!B10</f>
        <v>4.25258</v>
      </c>
      <c r="C3" s="231">
        <f>Calc!C10</f>
        <v>0.103786</v>
      </c>
      <c r="D3" s="231">
        <f>Calc!G10</f>
        <v>1.1361453349339568E+16</v>
      </c>
      <c r="E3" s="231">
        <f>Calc!L10</f>
        <v>0</v>
      </c>
      <c r="F3" s="231">
        <f>Calc!O10</f>
        <v>0</v>
      </c>
      <c r="G3" s="231">
        <f ca="1">Calc!T10</f>
        <v>1.1361453349339568E+16</v>
      </c>
      <c r="H3" s="231" t="e">
        <f ca="1">Calc!V10</f>
        <v>#NAME?</v>
      </c>
      <c r="I3" s="231" t="str">
        <f>Calc!W10</f>
        <v/>
      </c>
      <c r="J3" s="231"/>
    </row>
    <row r="4" spans="1:26" x14ac:dyDescent="0.2">
      <c r="A4" s="232">
        <f>Calc!A11</f>
        <v>2.4991999999999999E-4</v>
      </c>
      <c r="B4" s="232">
        <f>Calc!B11</f>
        <v>3.1560100000000002</v>
      </c>
      <c r="C4" s="231">
        <f>Calc!C11</f>
        <v>3.26393E-3</v>
      </c>
      <c r="D4" s="231">
        <f>Calc!G11</f>
        <v>7882594165308859</v>
      </c>
      <c r="E4" s="231">
        <f>Calc!L11</f>
        <v>1.6687318259984627E-3</v>
      </c>
      <c r="F4" s="231">
        <f>Calc!O11</f>
        <v>496.11288002879951</v>
      </c>
      <c r="G4" s="231">
        <f ca="1">Calc!T11</f>
        <v>7882594165308859</v>
      </c>
      <c r="H4" s="231" t="e">
        <f ca="1">Calc!V11</f>
        <v>#NAME?</v>
      </c>
      <c r="I4" s="231">
        <f ca="1">Calc!W11</f>
        <v>1.0371947386712281</v>
      </c>
      <c r="J4" s="231"/>
    </row>
    <row r="5" spans="1:26" x14ac:dyDescent="0.2">
      <c r="A5" s="232">
        <f>Calc!A12</f>
        <v>3.4991999999999998E-4</v>
      </c>
      <c r="B5" s="232">
        <f>Calc!B12</f>
        <v>2.3313899999999999</v>
      </c>
      <c r="C5" s="231">
        <f>Calc!C12</f>
        <v>-4.60153E-5</v>
      </c>
      <c r="D5" s="231">
        <f>Calc!G12</f>
        <v>5531724802090750</v>
      </c>
      <c r="E5" s="231">
        <f>Calc!L12</f>
        <v>2.8118963896018537E-4</v>
      </c>
      <c r="F5" s="231">
        <f>Calc!O12</f>
        <v>3505.5228365213411</v>
      </c>
      <c r="G5" s="231">
        <f ca="1">Calc!T12</f>
        <v>5531724802090750</v>
      </c>
      <c r="H5" s="231" t="e">
        <f ca="1">Calc!V12</f>
        <v>#NAME?</v>
      </c>
      <c r="I5" s="231">
        <f ca="1">Calc!W12</f>
        <v>4.3195543076909964</v>
      </c>
      <c r="J5" s="231"/>
    </row>
    <row r="6" spans="1:26" x14ac:dyDescent="0.2">
      <c r="A6" s="232">
        <f>Calc!A13</f>
        <v>4.4991999999999997E-4</v>
      </c>
      <c r="B6" s="232">
        <f>Calc!B13</f>
        <v>1.82786</v>
      </c>
      <c r="C6" s="231">
        <f>Calc!C13</f>
        <v>1.66661E-4</v>
      </c>
      <c r="D6" s="231">
        <f>Calc!G13</f>
        <v>4201502347315294.5</v>
      </c>
      <c r="E6" s="231">
        <f>Calc!L13</f>
        <v>3.4049519362930092E-4</v>
      </c>
      <c r="F6" s="231">
        <f>Calc!O13</f>
        <v>2907.5956660991033</v>
      </c>
      <c r="G6" s="231">
        <f ca="1">Calc!T13</f>
        <v>4201502347315294.5</v>
      </c>
      <c r="H6" s="231" t="e">
        <f ca="1">Calc!V13</f>
        <v>#NAME?</v>
      </c>
      <c r="I6" s="231">
        <f ca="1">Calc!W13</f>
        <v>2.709388674458058</v>
      </c>
      <c r="J6" s="231"/>
    </row>
    <row r="7" spans="1:26" x14ac:dyDescent="0.2">
      <c r="A7" s="232">
        <f>Calc!A14</f>
        <v>5.4991999999999997E-4</v>
      </c>
      <c r="B7" s="232">
        <f>Calc!B14</f>
        <v>1.49559</v>
      </c>
      <c r="C7" s="231">
        <f>Calc!C14</f>
        <v>6.3359699999999996E-5</v>
      </c>
      <c r="D7" s="231">
        <f>Calc!G14</f>
        <v>3365710797377079.5</v>
      </c>
      <c r="E7" s="231">
        <f>Calc!L14</f>
        <v>4.3686640718206498E-4</v>
      </c>
      <c r="F7" s="231">
        <f>Calc!O14</f>
        <v>2270.2247905248769</v>
      </c>
      <c r="G7" s="231">
        <f ca="1">Calc!T14</f>
        <v>3365710797377079.5</v>
      </c>
      <c r="H7" s="231" t="e">
        <f ca="1">Calc!V14</f>
        <v>#NAME?</v>
      </c>
      <c r="I7" s="231">
        <f ca="1">Calc!W14</f>
        <v>1.6916317644272614</v>
      </c>
      <c r="J7" s="231"/>
    </row>
    <row r="8" spans="1:26" x14ac:dyDescent="0.2">
      <c r="A8" s="232">
        <f>Calc!A15</f>
        <v>6.4992000000000001E-4</v>
      </c>
      <c r="B8" s="232">
        <f>Calc!B15</f>
        <v>1.2612699999999999</v>
      </c>
      <c r="C8" s="231">
        <f>Calc!C15</f>
        <v>3.5957400000000002E-5</v>
      </c>
      <c r="D8" s="231">
        <f>Calc!G15</f>
        <v>2795907107476559</v>
      </c>
      <c r="E8" s="231">
        <f>Calc!L15</f>
        <v>5.325802572983539E-4</v>
      </c>
      <c r="F8" s="231">
        <f>Calc!O15</f>
        <v>1864.6748963055443</v>
      </c>
      <c r="G8" s="231">
        <f ca="1">Calc!T15</f>
        <v>2795907107476559</v>
      </c>
      <c r="H8" s="231" t="e">
        <f ca="1">Calc!V15</f>
        <v>#NAME?</v>
      </c>
      <c r="I8" s="231">
        <f ca="1">Calc!W15</f>
        <v>1.152697526919348</v>
      </c>
      <c r="J8" s="231"/>
    </row>
    <row r="9" spans="1:26" x14ac:dyDescent="0.2">
      <c r="A9" s="232">
        <f>Calc!A16</f>
        <v>7.4991999999999995E-4</v>
      </c>
      <c r="B9" s="232">
        <f>Calc!B16</f>
        <v>1.08697</v>
      </c>
      <c r="C9" s="231">
        <f>Calc!C16</f>
        <v>1.9453499999999999E-5</v>
      </c>
      <c r="D9" s="231">
        <f>Calc!G16</f>
        <v>2382417130730062.5</v>
      </c>
      <c r="E9" s="231">
        <f>Calc!L16</f>
        <v>6.2474592186409776E-4</v>
      </c>
      <c r="F9" s="231">
        <f>Calc!O16</f>
        <v>1591.2286916568289</v>
      </c>
      <c r="G9" s="231">
        <f ca="1">Calc!T16</f>
        <v>2382417130730062.5</v>
      </c>
      <c r="H9" s="231" t="e">
        <f ca="1">Calc!V16</f>
        <v>#NAME?</v>
      </c>
      <c r="I9" s="231">
        <f ca="1">Calc!W16</f>
        <v>0.83732114713200512</v>
      </c>
      <c r="J9" s="231"/>
    </row>
    <row r="10" spans="1:26" x14ac:dyDescent="0.2">
      <c r="A10" s="232">
        <f>Calc!A17</f>
        <v>8.4991999999999999E-4</v>
      </c>
      <c r="B10" s="232">
        <f>Calc!B17</f>
        <v>0.95201599999999997</v>
      </c>
      <c r="C10" s="231">
        <f>Calc!C17</f>
        <v>5.93787E-6</v>
      </c>
      <c r="D10" s="231">
        <f>Calc!G17</f>
        <v>2068279905856168</v>
      </c>
      <c r="E10" s="231">
        <f>Calc!L17</f>
        <v>7.1328924928598951E-4</v>
      </c>
      <c r="F10" s="231">
        <f>Calc!O17</f>
        <v>1394.8546821034947</v>
      </c>
      <c r="G10" s="231">
        <f ca="1">Calc!T17</f>
        <v>2068279905856168</v>
      </c>
      <c r="H10" s="231" t="e">
        <f ca="1">Calc!V17</f>
        <v>#NAME?</v>
      </c>
      <c r="I10" s="231">
        <f ca="1">Calc!W17</f>
        <v>0.63668016578282505</v>
      </c>
      <c r="J10" s="231"/>
    </row>
    <row r="11" spans="1:26" x14ac:dyDescent="0.2">
      <c r="A11" s="232">
        <f>Calc!A18</f>
        <v>9.4992000000000004E-4</v>
      </c>
      <c r="B11" s="232">
        <f>Calc!B18</f>
        <v>0.84497100000000003</v>
      </c>
      <c r="C11" s="231">
        <f>Calc!C18</f>
        <v>-7.6135199999999997E-7</v>
      </c>
      <c r="D11" s="231">
        <f>Calc!G18</f>
        <v>1822815568763083.2</v>
      </c>
      <c r="E11" s="231">
        <f>Calc!L18</f>
        <v>7.9998893528086042E-4</v>
      </c>
      <c r="F11" s="231">
        <f>Calc!O18</f>
        <v>1244.5016789105523</v>
      </c>
      <c r="G11" s="231">
        <f ca="1">Calc!T18</f>
        <v>1822815568763083.2</v>
      </c>
      <c r="H11" s="231" t="e">
        <f ca="1">Calc!V18</f>
        <v>#NAME?</v>
      </c>
      <c r="I11" s="231">
        <f ca="1">Calc!W18</f>
        <v>0.50030683422835343</v>
      </c>
      <c r="J11" s="231"/>
    </row>
    <row r="12" spans="1:26" x14ac:dyDescent="0.2">
      <c r="A12" s="232">
        <f>Calc!A19</f>
        <v>1.04992E-3</v>
      </c>
      <c r="B12" s="232">
        <f>Calc!B19</f>
        <v>0.75804499999999997</v>
      </c>
      <c r="C12" s="231">
        <f>Calc!C19</f>
        <v>5.8630400000000001E-7</v>
      </c>
      <c r="D12" s="231">
        <f>Calc!G19</f>
        <v>1625889383606275</v>
      </c>
      <c r="E12" s="231">
        <f>Calc!L19</f>
        <v>8.8570347699836903E-4</v>
      </c>
      <c r="F12" s="231">
        <f>Calc!O19</f>
        <v>1124.6577992148045</v>
      </c>
      <c r="G12" s="231">
        <f ca="1">Calc!T19</f>
        <v>1625889383606275</v>
      </c>
      <c r="H12" s="231" t="e">
        <f ca="1">Calc!V19</f>
        <v>#NAME?</v>
      </c>
      <c r="I12" s="231">
        <f ca="1">Calc!W19</f>
        <v>0.40306986708344217</v>
      </c>
      <c r="J12" s="231"/>
    </row>
    <row r="13" spans="1:26" x14ac:dyDescent="0.2">
      <c r="A13" s="232">
        <f>Calc!A20</f>
        <v>1.14992E-3</v>
      </c>
      <c r="B13" s="232">
        <f>Calc!B20</f>
        <v>0.68601500000000004</v>
      </c>
      <c r="C13" s="231">
        <f>Calc!C20</f>
        <v>4.8441199999999996E-6</v>
      </c>
      <c r="D13" s="231">
        <f>Calc!G20</f>
        <v>1464336904173964.5</v>
      </c>
      <c r="E13" s="231">
        <f>Calc!L20</f>
        <v>9.6976424664196848E-4</v>
      </c>
      <c r="F13" s="231">
        <f>Calc!O20</f>
        <v>1027.6189484449519</v>
      </c>
      <c r="G13" s="231">
        <f ca="1">Calc!T20</f>
        <v>1464336904173964.5</v>
      </c>
      <c r="H13" s="231" t="e">
        <f ca="1">Calc!V20</f>
        <v>#NAME?</v>
      </c>
      <c r="I13" s="231">
        <f ca="1">Calc!W20</f>
        <v>0.33155266687671126</v>
      </c>
      <c r="J13" s="231"/>
    </row>
    <row r="14" spans="1:26" x14ac:dyDescent="0.2">
      <c r="A14" s="232">
        <f>Calc!A21</f>
        <v>1.2499200000000001E-3</v>
      </c>
      <c r="B14" s="232">
        <f>Calc!B21</f>
        <v>0.62546299999999999</v>
      </c>
      <c r="C14" s="231">
        <f>Calc!C21</f>
        <v>-5.8199500000000001E-6</v>
      </c>
      <c r="D14" s="231">
        <f>Calc!G21</f>
        <v>1329667256177945</v>
      </c>
      <c r="E14" s="231">
        <f>Calc!L21</f>
        <v>1.0522752484179449E-3</v>
      </c>
      <c r="F14" s="231">
        <f>Calc!O21</f>
        <v>947.38679228164017</v>
      </c>
      <c r="G14" s="231">
        <f ca="1">Calc!T21</f>
        <v>1329667256177945</v>
      </c>
      <c r="H14" s="231" t="e">
        <f ca="1">Calc!V21</f>
        <v>#NAME?</v>
      </c>
      <c r="I14" s="231">
        <f ca="1">Calc!W21</f>
        <v>0.27745420135070342</v>
      </c>
      <c r="J14" s="231"/>
    </row>
    <row r="15" spans="1:26" x14ac:dyDescent="0.2">
      <c r="A15" s="232">
        <f>Calc!A22</f>
        <v>1.3499199999999999E-3</v>
      </c>
      <c r="B15" s="232">
        <f>Calc!B22</f>
        <v>0.57395499999999999</v>
      </c>
      <c r="C15" s="231">
        <f>Calc!C22</f>
        <v>-1.5230700000000001E-6</v>
      </c>
      <c r="D15" s="231">
        <f>Calc!G22</f>
        <v>1215930297417172</v>
      </c>
      <c r="E15" s="231">
        <f>Calc!L22</f>
        <v>1.1348425383825257E-3</v>
      </c>
      <c r="F15" s="231">
        <f>Calc!O22</f>
        <v>878.72522956799958</v>
      </c>
      <c r="G15" s="231">
        <f ca="1">Calc!T22</f>
        <v>1215930297417172</v>
      </c>
      <c r="H15" s="231" t="e">
        <f ca="1">Calc!V22</f>
        <v>#NAME?</v>
      </c>
      <c r="I15" s="231">
        <f ca="1">Calc!W22</f>
        <v>0.23526144483386457</v>
      </c>
      <c r="J15" s="231"/>
    </row>
    <row r="16" spans="1:26" x14ac:dyDescent="0.2">
      <c r="A16" s="232">
        <f>Calc!A23</f>
        <v>1.4499199999999999E-3</v>
      </c>
      <c r="B16" s="232">
        <f>Calc!B23</f>
        <v>0.52946099999999996</v>
      </c>
      <c r="C16" s="231">
        <f>Calc!C23</f>
        <v>-8.59338E-6</v>
      </c>
      <c r="D16" s="231">
        <f>Calc!G23</f>
        <v>1118286865182320.7</v>
      </c>
      <c r="E16" s="231">
        <f>Calc!L23</f>
        <v>1.2153053535499834E-3</v>
      </c>
      <c r="F16" s="231">
        <f>Calc!O23</f>
        <v>820.76253314296173</v>
      </c>
      <c r="G16" s="231">
        <f ca="1">Calc!T23</f>
        <v>1118286865182320.7</v>
      </c>
      <c r="H16" s="231" t="e">
        <f ca="1">Calc!V23</f>
        <v>#NAME?</v>
      </c>
      <c r="I16" s="231">
        <f ca="1">Calc!W23</f>
        <v>0.20204378664587005</v>
      </c>
      <c r="J16" s="231"/>
    </row>
    <row r="17" spans="1:10" x14ac:dyDescent="0.2">
      <c r="A17" s="232">
        <f>Calc!A24</f>
        <v>1.54992E-3</v>
      </c>
      <c r="B17" s="232">
        <f>Calc!B24</f>
        <v>0.49098399999999998</v>
      </c>
      <c r="C17" s="231">
        <f>Calc!C24</f>
        <v>-2.1871300000000002E-6</v>
      </c>
      <c r="D17" s="231">
        <f>Calc!G24</f>
        <v>1034300663495785.6</v>
      </c>
      <c r="E17" s="231">
        <f>Calc!L24</f>
        <v>1.2951093351000998E-3</v>
      </c>
      <c r="F17" s="231">
        <f>Calc!O24</f>
        <v>770.35975058520171</v>
      </c>
      <c r="G17" s="231">
        <f ca="1">Calc!T24</f>
        <v>1034300663495785.6</v>
      </c>
      <c r="H17" s="231" t="e">
        <f ca="1">Calc!V24</f>
        <v>#NAME?</v>
      </c>
      <c r="I17" s="231">
        <f ca="1">Calc!W24</f>
        <v>0.17535496053364699</v>
      </c>
      <c r="J17" s="231"/>
    </row>
    <row r="18" spans="1:10" x14ac:dyDescent="0.2">
      <c r="A18" s="232">
        <f>Calc!A25</f>
        <v>1.64992E-3</v>
      </c>
      <c r="B18" s="232">
        <f>Calc!B25</f>
        <v>0.45696599999999998</v>
      </c>
      <c r="C18" s="231">
        <f>Calc!C25</f>
        <v>-3.8277599999999998E-6</v>
      </c>
      <c r="D18" s="231">
        <f>Calc!G25</f>
        <v>960397345495608.25</v>
      </c>
      <c r="E18" s="231">
        <f>Calc!L25</f>
        <v>1.3718663039427065E-3</v>
      </c>
      <c r="F18" s="231">
        <f>Calc!O25</f>
        <v>727.40288285958025</v>
      </c>
      <c r="G18" s="231">
        <f ca="1">Calc!T25</f>
        <v>960397345495608.25</v>
      </c>
      <c r="H18" s="231" t="e">
        <f ca="1">Calc!V25</f>
        <v>#NAME?</v>
      </c>
      <c r="I18" s="231">
        <f ca="1">Calc!W25</f>
        <v>0.15371521202154229</v>
      </c>
      <c r="J18" s="231"/>
    </row>
    <row r="19" spans="1:10" x14ac:dyDescent="0.2">
      <c r="A19" s="232">
        <f>Calc!A26</f>
        <v>1.7499200000000001E-3</v>
      </c>
      <c r="B19" s="232">
        <f>Calc!B26</f>
        <v>0.42699799999999999</v>
      </c>
      <c r="C19" s="231">
        <f>Calc!C26</f>
        <v>-1.24215E-5</v>
      </c>
      <c r="D19" s="231">
        <f>Calc!G26</f>
        <v>895564884959189.62</v>
      </c>
      <c r="E19" s="231">
        <f>Calc!L26</f>
        <v>1.4466209811519206E-3</v>
      </c>
      <c r="F19" s="231">
        <f>Calc!O26</f>
        <v>689.93468918050405</v>
      </c>
      <c r="G19" s="231">
        <f ca="1">Calc!T26</f>
        <v>895564884959189.62</v>
      </c>
      <c r="H19" s="231" t="e">
        <f ca="1">Calc!V26</f>
        <v>#NAME?</v>
      </c>
      <c r="I19" s="231">
        <f ca="1">Calc!W26</f>
        <v>0.13593146057416822</v>
      </c>
      <c r="J19" s="231"/>
    </row>
    <row r="20" spans="1:10" x14ac:dyDescent="0.2">
      <c r="A20" s="232">
        <f>Calc!A27</f>
        <v>1.8499199999999999E-3</v>
      </c>
      <c r="B20" s="232">
        <f>Calc!B27</f>
        <v>0.40011400000000003</v>
      </c>
      <c r="C20" s="231">
        <f>Calc!C27</f>
        <v>1.17554E-7</v>
      </c>
      <c r="D20" s="231">
        <f>Calc!G27</f>
        <v>837621612468979.5</v>
      </c>
      <c r="E20" s="231">
        <f>Calc!L27</f>
        <v>1.5207687623762357E-3</v>
      </c>
      <c r="F20" s="231">
        <f>Calc!O27</f>
        <v>656.39749255397749</v>
      </c>
      <c r="G20" s="231">
        <f ca="1">Calc!T27</f>
        <v>837621612468979.5</v>
      </c>
      <c r="H20" s="231" t="e">
        <f ca="1">Calc!V27</f>
        <v>#NAME?</v>
      </c>
      <c r="I20" s="231">
        <f ca="1">Calc!W27</f>
        <v>0.12093788736368967</v>
      </c>
      <c r="J20" s="231"/>
    </row>
    <row r="21" spans="1:10" x14ac:dyDescent="0.2">
      <c r="A21" s="232">
        <f>Calc!A28</f>
        <v>1.94992E-3</v>
      </c>
      <c r="B21" s="232">
        <f>Calc!B28</f>
        <v>0.37615300000000002</v>
      </c>
      <c r="C21" s="231">
        <f>Calc!C28</f>
        <v>-1.5273100000000001E-5</v>
      </c>
      <c r="D21" s="231">
        <f>Calc!G28</f>
        <v>786151720911368.75</v>
      </c>
      <c r="E21" s="231">
        <f>Calc!L28</f>
        <v>1.5935146223537808E-3</v>
      </c>
      <c r="F21" s="231">
        <f>Calc!O28</f>
        <v>626.51772370253695</v>
      </c>
      <c r="G21" s="231">
        <f ca="1">Calc!T28</f>
        <v>786151720911368.75</v>
      </c>
      <c r="H21" s="231" t="e">
        <f ca="1">Calc!V28</f>
        <v>#NAME?</v>
      </c>
      <c r="I21" s="231">
        <f ca="1">Calc!W28</f>
        <v>0.10832482669272449</v>
      </c>
      <c r="J21" s="231"/>
    </row>
    <row r="22" spans="1:10" x14ac:dyDescent="0.2">
      <c r="A22" s="232">
        <f>Calc!A29</f>
        <v>2.0499200000000002E-3</v>
      </c>
      <c r="B22" s="232">
        <f>Calc!B29</f>
        <v>0.35446699999999998</v>
      </c>
      <c r="C22" s="231">
        <f>Calc!C29</f>
        <v>-2.0429300000000001E-5</v>
      </c>
      <c r="D22" s="231">
        <f>Calc!G29</f>
        <v>739709787005948.12</v>
      </c>
      <c r="E22" s="231">
        <f>Calc!L29</f>
        <v>1.6661108480843915E-3</v>
      </c>
      <c r="F22" s="231">
        <f>Calc!O29</f>
        <v>599.29185829716096</v>
      </c>
      <c r="G22" s="231">
        <f ca="1">Calc!T29</f>
        <v>739709787005948.12</v>
      </c>
      <c r="H22" s="231" t="e">
        <f ca="1">Calc!V29</f>
        <v>#NAME?</v>
      </c>
      <c r="I22" s="231">
        <f ca="1">Calc!W29</f>
        <v>9.7484408113584026E-2</v>
      </c>
      <c r="J22" s="231"/>
    </row>
    <row r="23" spans="1:10" x14ac:dyDescent="0.2">
      <c r="A23" s="232">
        <f>Calc!A30</f>
        <v>2.14992E-3</v>
      </c>
      <c r="B23" s="232">
        <f>Calc!B30</f>
        <v>0.334866</v>
      </c>
      <c r="C23" s="231">
        <f>Calc!C30</f>
        <v>-2.05074E-5</v>
      </c>
      <c r="D23" s="231">
        <f>Calc!G30</f>
        <v>697848533161954.37</v>
      </c>
      <c r="E23" s="231">
        <f>Calc!L30</f>
        <v>1.7389609404064024E-3</v>
      </c>
      <c r="F23" s="231">
        <f>Calc!O30</f>
        <v>574.24763686530071</v>
      </c>
      <c r="G23" s="231">
        <f ca="1">Calc!T30</f>
        <v>697848533161954.37</v>
      </c>
      <c r="H23" s="231" t="e">
        <f ca="1">Calc!V30</f>
        <v>#NAME?</v>
      </c>
      <c r="I23" s="231">
        <f ca="1">Calc!W30</f>
        <v>8.8114834361787173E-2</v>
      </c>
      <c r="J23" s="231"/>
    </row>
    <row r="24" spans="1:10" x14ac:dyDescent="0.2">
      <c r="A24" s="232">
        <f>Calc!A31</f>
        <v>2.2499199999999999E-3</v>
      </c>
      <c r="B24" s="232">
        <f>Calc!B31</f>
        <v>0.31699899999999998</v>
      </c>
      <c r="C24" s="231">
        <f>Calc!C31</f>
        <v>-2.0683199999999999E-5</v>
      </c>
      <c r="D24" s="231">
        <f>Calc!G31</f>
        <v>659786239553203.25</v>
      </c>
      <c r="E24" s="231">
        <f>Calc!L31</f>
        <v>1.8093280066100344E-3</v>
      </c>
      <c r="F24" s="231">
        <f>Calc!O31</f>
        <v>551.96875627002214</v>
      </c>
      <c r="G24" s="231">
        <f ca="1">Calc!T31</f>
        <v>659786239553203.25</v>
      </c>
      <c r="H24" s="231" t="e">
        <f ca="1">Calc!V31</f>
        <v>#NAME?</v>
      </c>
      <c r="I24" s="231">
        <f ca="1">Calc!W31</f>
        <v>8.0068858018589747E-2</v>
      </c>
      <c r="J24" s="231"/>
    </row>
    <row r="25" spans="1:10" x14ac:dyDescent="0.2">
      <c r="A25" s="232">
        <f>Calc!A32</f>
        <v>2.3499200000000001E-3</v>
      </c>
      <c r="B25" s="232">
        <f>Calc!B32</f>
        <v>0.30085000000000001</v>
      </c>
      <c r="C25" s="231">
        <f>Calc!C32</f>
        <v>-1.5312099999999999E-5</v>
      </c>
      <c r="D25" s="231">
        <f>Calc!G32</f>
        <v>625462486053596.62</v>
      </c>
      <c r="E25" s="231">
        <f>Calc!L32</f>
        <v>1.8773334867761679E-3</v>
      </c>
      <c r="F25" s="231">
        <f>Calc!O32</f>
        <v>532.02101349429961</v>
      </c>
      <c r="G25" s="231">
        <f ca="1">Calc!T32</f>
        <v>625462486053596.62</v>
      </c>
      <c r="H25" s="231" t="e">
        <f ca="1">Calc!V32</f>
        <v>#NAME?</v>
      </c>
      <c r="I25" s="231">
        <f ca="1">Calc!W32</f>
        <v>7.3153907064825094E-2</v>
      </c>
      <c r="J25" s="231"/>
    </row>
    <row r="26" spans="1:10" x14ac:dyDescent="0.2">
      <c r="A26" s="232">
        <f>Calc!A33</f>
        <v>2.44992E-3</v>
      </c>
      <c r="B26" s="232">
        <f>Calc!B33</f>
        <v>0.28581499999999999</v>
      </c>
      <c r="C26" s="231">
        <f>Calc!C33</f>
        <v>-1.46481E-5</v>
      </c>
      <c r="D26" s="231">
        <f>Calc!G33</f>
        <v>593573725633900.25</v>
      </c>
      <c r="E26" s="231">
        <f>Calc!L33</f>
        <v>1.9454019203633741E-3</v>
      </c>
      <c r="F26" s="231">
        <f>Calc!O33</f>
        <v>513.44772890021954</v>
      </c>
      <c r="G26" s="231">
        <f ca="1">Calc!T33</f>
        <v>593573725633900.25</v>
      </c>
      <c r="H26" s="231" t="e">
        <f ca="1">Calc!V33</f>
        <v>#NAME?</v>
      </c>
      <c r="I26" s="231">
        <f ca="1">Calc!W33</f>
        <v>6.6995096183311717E-2</v>
      </c>
      <c r="J26" s="231"/>
    </row>
    <row r="27" spans="1:10" x14ac:dyDescent="0.2">
      <c r="A27" s="232">
        <f>Calc!A34</f>
        <v>2.5499199999999998E-3</v>
      </c>
      <c r="B27" s="232">
        <f>Calc!B34</f>
        <v>0.27201999999999998</v>
      </c>
      <c r="C27" s="231">
        <f>Calc!C34</f>
        <v>-6.2105699999999999E-6</v>
      </c>
      <c r="D27" s="231">
        <f>Calc!G34</f>
        <v>564372110363502.37</v>
      </c>
      <c r="E27" s="231">
        <f>Calc!L34</f>
        <v>2.0075295179825428E-3</v>
      </c>
      <c r="F27" s="231">
        <f>Calc!O34</f>
        <v>497.59594427075746</v>
      </c>
      <c r="G27" s="231">
        <f ca="1">Calc!T34</f>
        <v>564372110363502.37</v>
      </c>
      <c r="H27" s="231" t="e">
        <f ca="1">Calc!V34</f>
        <v>#NAME?</v>
      </c>
      <c r="I27" s="231">
        <f ca="1">Calc!W34</f>
        <v>6.1727869918363779E-2</v>
      </c>
      <c r="J27" s="231"/>
    </row>
    <row r="28" spans="1:10" x14ac:dyDescent="0.2">
      <c r="A28" s="232">
        <f>Calc!A35</f>
        <v>2.6499200000000001E-3</v>
      </c>
      <c r="B28" s="232">
        <f>Calc!B35</f>
        <v>0.259432</v>
      </c>
      <c r="C28" s="231">
        <f>Calc!C35</f>
        <v>-1.32776E-6</v>
      </c>
      <c r="D28" s="231">
        <f>Calc!G35</f>
        <v>537773305752357.06</v>
      </c>
      <c r="E28" s="231">
        <f>Calc!L35</f>
        <v>2.0747877281122773E-3</v>
      </c>
      <c r="F28" s="231">
        <f>Calc!O35</f>
        <v>481.49694473687839</v>
      </c>
      <c r="G28" s="231">
        <f ca="1">Calc!T35</f>
        <v>537773305752357.06</v>
      </c>
      <c r="H28" s="231" t="e">
        <f ca="1">Calc!V35</f>
        <v>#NAME?</v>
      </c>
      <c r="I28" s="231">
        <f ca="1">Calc!W35</f>
        <v>5.6911922515127777E-2</v>
      </c>
      <c r="J28" s="231"/>
    </row>
    <row r="29" spans="1:10" x14ac:dyDescent="0.2">
      <c r="A29" s="232">
        <f>Calc!A36</f>
        <v>2.7499199999999999E-3</v>
      </c>
      <c r="B29" s="232">
        <f>Calc!B36</f>
        <v>0.24759300000000001</v>
      </c>
      <c r="C29" s="231">
        <f>Calc!C36</f>
        <v>-5.4650799999999999E-7</v>
      </c>
      <c r="D29" s="231">
        <f>Calc!G36</f>
        <v>512798857378768.37</v>
      </c>
      <c r="E29" s="231">
        <f>Calc!L36</f>
        <v>2.1350722367878879E-3</v>
      </c>
      <c r="F29" s="231">
        <f>Calc!O36</f>
        <v>467.93170987894672</v>
      </c>
      <c r="G29" s="231">
        <f ca="1">Calc!T36</f>
        <v>512798857378768.37</v>
      </c>
      <c r="H29" s="231" t="e">
        <f ca="1">Calc!V36</f>
        <v>#NAME?</v>
      </c>
      <c r="I29" s="231">
        <f ca="1">Calc!W36</f>
        <v>5.2736604269493781E-2</v>
      </c>
      <c r="J29" s="231"/>
    </row>
    <row r="30" spans="1:10" x14ac:dyDescent="0.2">
      <c r="A30" s="232">
        <f>Calc!A37</f>
        <v>2.8499200000000001E-3</v>
      </c>
      <c r="B30" s="232">
        <f>Calc!B37</f>
        <v>0.23665600000000001</v>
      </c>
      <c r="C30" s="231">
        <f>Calc!C37</f>
        <v>1.0664400000000001E-5</v>
      </c>
      <c r="D30" s="231">
        <f>Calc!G37</f>
        <v>489763165275339.5</v>
      </c>
      <c r="E30" s="231">
        <f>Calc!L37</f>
        <v>2.1949935824616173E-3</v>
      </c>
      <c r="F30" s="231">
        <f>Calc!O37</f>
        <v>455.18401678243941</v>
      </c>
      <c r="G30" s="231">
        <f ca="1">Calc!T37</f>
        <v>489763165275339.5</v>
      </c>
      <c r="H30" s="231" t="e">
        <f ca="1">Calc!V37</f>
        <v>#NAME?</v>
      </c>
      <c r="I30" s="231">
        <f ca="1">Calc!W37</f>
        <v>4.8992607096507643E-2</v>
      </c>
      <c r="J30" s="231"/>
    </row>
    <row r="31" spans="1:10" x14ac:dyDescent="0.2">
      <c r="A31" s="232">
        <f>Calc!A38</f>
        <v>2.94992E-3</v>
      </c>
      <c r="B31" s="232">
        <f>Calc!B38</f>
        <v>0.22644500000000001</v>
      </c>
      <c r="C31" s="231">
        <f>Calc!C38</f>
        <v>9.0042700000000008E-6</v>
      </c>
      <c r="D31" s="231">
        <f>Calc!G38</f>
        <v>468287834550130.12</v>
      </c>
      <c r="E31" s="231">
        <f>Calc!L38</f>
        <v>2.2685825784189624E-3</v>
      </c>
      <c r="F31" s="231">
        <f>Calc!O38</f>
        <v>440.43985162082367</v>
      </c>
      <c r="G31" s="231">
        <f ca="1">Calc!T38</f>
        <v>468287834550130.12</v>
      </c>
      <c r="H31" s="231" t="e">
        <f ca="1">Calc!V38</f>
        <v>#NAME?</v>
      </c>
      <c r="I31" s="231">
        <f ca="1">Calc!W38</f>
        <v>4.5324807619125045E-2</v>
      </c>
      <c r="J31" s="231"/>
    </row>
    <row r="32" spans="1:10" x14ac:dyDescent="0.2">
      <c r="A32" s="232">
        <f>Calc!A39</f>
        <v>3.0499199999999998E-3</v>
      </c>
      <c r="B32" s="232">
        <f>Calc!B39</f>
        <v>0.21700700000000001</v>
      </c>
      <c r="C32" s="231">
        <f>Calc!C39</f>
        <v>9.1409900000000004E-6</v>
      </c>
      <c r="D32" s="231">
        <f>Calc!G39</f>
        <v>448465127598598.94</v>
      </c>
      <c r="E32" s="231">
        <f>Calc!L39</f>
        <v>2.3365370342733056E-3</v>
      </c>
      <c r="F32" s="231">
        <f>Calc!O39</f>
        <v>427.64993971552411</v>
      </c>
      <c r="G32" s="231">
        <f ca="1">Calc!T39</f>
        <v>448465127598598.94</v>
      </c>
      <c r="H32" s="231" t="e">
        <f ca="1">Calc!V39</f>
        <v>#NAME?</v>
      </c>
      <c r="I32" s="231">
        <f ca="1">Calc!W39</f>
        <v>4.2143800323584259E-2</v>
      </c>
      <c r="J32" s="231"/>
    </row>
    <row r="33" spans="1:10" x14ac:dyDescent="0.2">
      <c r="A33" s="232">
        <f>Calc!A40</f>
        <v>3.1499200000000001E-3</v>
      </c>
      <c r="B33" s="232">
        <f>Calc!B40</f>
        <v>0.208317</v>
      </c>
      <c r="C33" s="231">
        <f>Calc!C40</f>
        <v>1.1562900000000001E-5</v>
      </c>
      <c r="D33" s="231">
        <f>Calc!G40</f>
        <v>430236329279206</v>
      </c>
      <c r="E33" s="231">
        <f>Calc!L40</f>
        <v>2.4018099134335133E-3</v>
      </c>
      <c r="F33" s="231">
        <f>Calc!O40</f>
        <v>416.04541089323243</v>
      </c>
      <c r="G33" s="231">
        <f ca="1">Calc!T40</f>
        <v>430236329279206</v>
      </c>
      <c r="H33" s="231" t="e">
        <f ca="1">Calc!V40</f>
        <v>#NAME?</v>
      </c>
      <c r="I33" s="231">
        <f ca="1">Calc!W40</f>
        <v>3.9332009278606139E-2</v>
      </c>
      <c r="J33" s="231"/>
    </row>
    <row r="34" spans="1:10" x14ac:dyDescent="0.2">
      <c r="A34" s="232">
        <f>Calc!A41</f>
        <v>3.2499199999999999E-3</v>
      </c>
      <c r="B34" s="232">
        <f>Calc!B41</f>
        <v>0.20000499999999999</v>
      </c>
      <c r="C34" s="231">
        <f>Calc!C41</f>
        <v>4.0042700000000004E-6</v>
      </c>
      <c r="D34" s="231">
        <f>Calc!G41</f>
        <v>412821013054100.37</v>
      </c>
      <c r="E34" s="231">
        <f>Calc!L41</f>
        <v>2.468487519307996E-3</v>
      </c>
      <c r="F34" s="231">
        <f>Calc!O41</f>
        <v>404.82346339805736</v>
      </c>
      <c r="G34" s="231">
        <f ca="1">Calc!T41</f>
        <v>412821013054100.37</v>
      </c>
      <c r="H34" s="231" t="e">
        <f ca="1">Calc!V41</f>
        <v>#NAME?</v>
      </c>
      <c r="I34" s="231">
        <f ca="1">Calc!W41</f>
        <v>3.6720496604203144E-2</v>
      </c>
      <c r="J34" s="231"/>
    </row>
    <row r="35" spans="1:10" x14ac:dyDescent="0.2">
      <c r="A35" s="232">
        <f>Calc!A42</f>
        <v>3.3499200000000002E-3</v>
      </c>
      <c r="B35" s="232">
        <f>Calc!B42</f>
        <v>0.19222800000000001</v>
      </c>
      <c r="C35" s="231">
        <f>Calc!C42</f>
        <v>1.21488E-5</v>
      </c>
      <c r="D35" s="231">
        <f>Calc!G42</f>
        <v>396544866948250.06</v>
      </c>
      <c r="E35" s="231">
        <f>Calc!L42</f>
        <v>2.5019232158931207E-3</v>
      </c>
      <c r="F35" s="231">
        <f>Calc!O42</f>
        <v>399.43149059543953</v>
      </c>
      <c r="G35" s="231">
        <f ca="1">Calc!T42</f>
        <v>396544866948250.06</v>
      </c>
      <c r="H35" s="231" t="e">
        <f ca="1">Calc!V42</f>
        <v>#NAME?</v>
      </c>
      <c r="I35" s="231">
        <f ca="1">Calc!W42</f>
        <v>3.4801346047687025E-2</v>
      </c>
      <c r="J35" s="231"/>
    </row>
    <row r="36" spans="1:10" x14ac:dyDescent="0.2">
      <c r="A36" s="232">
        <f>Calc!A43</f>
        <v>3.44992E-3</v>
      </c>
      <c r="B36" s="232">
        <f>Calc!B43</f>
        <v>0.18512400000000001</v>
      </c>
      <c r="C36" s="231">
        <f>Calc!C43</f>
        <v>1.43949E-5</v>
      </c>
      <c r="D36" s="231">
        <f>Calc!G43</f>
        <v>381692649268363.37</v>
      </c>
      <c r="E36" s="231">
        <f>Calc!L43</f>
        <v>2.5519099414631407E-3</v>
      </c>
      <c r="F36" s="231">
        <f>Calc!O43</f>
        <v>391.62151419921156</v>
      </c>
      <c r="G36" s="231">
        <f ca="1">Calc!T43</f>
        <v>381692649268363.37</v>
      </c>
      <c r="H36" s="231" t="e">
        <f ca="1">Calc!V43</f>
        <v>#NAME?</v>
      </c>
      <c r="I36" s="231">
        <f ca="1">Calc!W43</f>
        <v>3.2841738513980874E-2</v>
      </c>
      <c r="J36" s="231"/>
    </row>
    <row r="37" spans="1:10" x14ac:dyDescent="0.2">
      <c r="A37" s="232">
        <f>Calc!A44</f>
        <v>3.5499199999999998E-3</v>
      </c>
      <c r="B37" s="232">
        <f>Calc!B44</f>
        <v>0.17787500000000001</v>
      </c>
      <c r="C37" s="231">
        <f>Calc!C44</f>
        <v>5.3909899999999999E-6</v>
      </c>
      <c r="D37" s="231">
        <f>Calc!G44</f>
        <v>366552502194570</v>
      </c>
      <c r="E37" s="231">
        <f>Calc!L44</f>
        <v>2.5900819637970523E-3</v>
      </c>
      <c r="F37" s="231">
        <f>Calc!O44</f>
        <v>385.86512903308403</v>
      </c>
      <c r="G37" s="231">
        <f ca="1">Calc!T44</f>
        <v>366552502194570</v>
      </c>
      <c r="H37" s="231" t="e">
        <f ca="1">Calc!V44</f>
        <v>#NAME?</v>
      </c>
      <c r="I37" s="231">
        <f ca="1">Calc!W44</f>
        <v>3.1074229380576957E-2</v>
      </c>
      <c r="J37" s="231"/>
    </row>
    <row r="38" spans="1:10" x14ac:dyDescent="0.2">
      <c r="A38" s="232">
        <f>Calc!A45</f>
        <v>3.6499200000000001E-3</v>
      </c>
      <c r="B38" s="232">
        <f>Calc!B45</f>
        <v>0.17139499999999999</v>
      </c>
      <c r="C38" s="231">
        <f>Calc!C45</f>
        <v>1.6934000000000001E-5</v>
      </c>
      <c r="D38" s="231">
        <f>Calc!G45</f>
        <v>353031513721201.19</v>
      </c>
      <c r="E38" s="231">
        <f>Calc!L45</f>
        <v>2.6409306017535403E-3</v>
      </c>
      <c r="F38" s="231">
        <f>Calc!O45</f>
        <v>378.44751498489182</v>
      </c>
      <c r="G38" s="231">
        <f ca="1">Calc!T45</f>
        <v>353031513721201.19</v>
      </c>
      <c r="H38" s="231" t="e">
        <f ca="1">Calc!V45</f>
        <v>#NAME?</v>
      </c>
      <c r="I38" s="231">
        <f ca="1">Calc!W45</f>
        <v>2.9351761664454183E-2</v>
      </c>
      <c r="J38" s="231"/>
    </row>
    <row r="39" spans="1:10" x14ac:dyDescent="0.2">
      <c r="A39" s="232">
        <f>Calc!A46</f>
        <v>3.7499199999999999E-3</v>
      </c>
      <c r="B39" s="232">
        <f>Calc!B46</f>
        <v>0.16519900000000001</v>
      </c>
      <c r="C39" s="231">
        <f>Calc!C46</f>
        <v>1.16801E-5</v>
      </c>
      <c r="D39" s="231">
        <f>Calc!G46</f>
        <v>340114642724112.87</v>
      </c>
      <c r="E39" s="231">
        <f>Calc!L46</f>
        <v>2.7207666580787884E-3</v>
      </c>
      <c r="F39" s="231">
        <f>Calc!O46</f>
        <v>367.35143774397994</v>
      </c>
      <c r="G39" s="231">
        <f ca="1">Calc!T46</f>
        <v>340114642724112.87</v>
      </c>
      <c r="H39" s="231" t="e">
        <f ca="1">Calc!V46</f>
        <v>#NAME?</v>
      </c>
      <c r="I39" s="231">
        <f ca="1">Calc!W46</f>
        <v>2.7448064102030396E-2</v>
      </c>
      <c r="J39" s="231"/>
    </row>
    <row r="40" spans="1:10" x14ac:dyDescent="0.2">
      <c r="A40" s="232">
        <f>Calc!A47</f>
        <v>3.8499200000000002E-3</v>
      </c>
      <c r="B40" s="232">
        <f>Calc!B47</f>
        <v>0.159418</v>
      </c>
      <c r="C40" s="231">
        <f>Calc!C47</f>
        <v>7.6761499999999993E-6</v>
      </c>
      <c r="D40" s="231">
        <f>Calc!G47</f>
        <v>328073110494273</v>
      </c>
      <c r="E40" s="231">
        <f>Calc!L47</f>
        <v>2.7813260406693852E-3</v>
      </c>
      <c r="F40" s="231">
        <f>Calc!O47</f>
        <v>359.36206272353979</v>
      </c>
      <c r="G40" s="231">
        <f ca="1">Calc!T47</f>
        <v>328073110494273</v>
      </c>
      <c r="H40" s="231" t="e">
        <f ca="1">Calc!V47</f>
        <v>#NAME?</v>
      </c>
      <c r="I40" s="231">
        <f ca="1">Calc!W47</f>
        <v>2.5899800610629697E-2</v>
      </c>
      <c r="J40" s="231"/>
    </row>
    <row r="41" spans="1:10" x14ac:dyDescent="0.2">
      <c r="A41" s="232">
        <f>Calc!A48</f>
        <v>3.94992E-3</v>
      </c>
      <c r="B41" s="232">
        <f>Calc!B48</f>
        <v>0.15387100000000001</v>
      </c>
      <c r="C41" s="231">
        <f>Calc!C48</f>
        <v>1.0937900000000001E-5</v>
      </c>
      <c r="D41" s="231">
        <f>Calc!G48</f>
        <v>316528246976444.25</v>
      </c>
      <c r="E41" s="231">
        <f>Calc!L48</f>
        <v>2.8293781804551764E-3</v>
      </c>
      <c r="F41" s="231">
        <f>Calc!O48</f>
        <v>353.26823297246926</v>
      </c>
      <c r="G41" s="231">
        <f ca="1">Calc!T48</f>
        <v>316528246976444.25</v>
      </c>
      <c r="H41" s="231" t="e">
        <f ca="1">Calc!V48</f>
        <v>#NAME?</v>
      </c>
      <c r="I41" s="231">
        <f ca="1">Calc!W48</f>
        <v>2.4564003971219144E-2</v>
      </c>
      <c r="J41" s="231"/>
    </row>
    <row r="42" spans="1:10" x14ac:dyDescent="0.2">
      <c r="A42" s="232">
        <f>Calc!A49</f>
        <v>4.0499200000000003E-3</v>
      </c>
      <c r="B42" s="232">
        <f>Calc!B49</f>
        <v>0.14873500000000001</v>
      </c>
      <c r="C42" s="231">
        <f>Calc!C49</f>
        <v>5.6644299999999999E-6</v>
      </c>
      <c r="D42" s="231">
        <f>Calc!G49</f>
        <v>305846888481691.44</v>
      </c>
      <c r="E42" s="231">
        <f>Calc!L49</f>
        <v>2.8731682259806658E-3</v>
      </c>
      <c r="F42" s="231">
        <f>Calc!O49</f>
        <v>347.89256148717436</v>
      </c>
      <c r="G42" s="231">
        <f ca="1">Calc!T49</f>
        <v>305846888481691.44</v>
      </c>
      <c r="H42" s="231" t="e">
        <f ca="1">Calc!V49</f>
        <v>#NAME?</v>
      </c>
      <c r="I42" s="231">
        <f ca="1">Calc!W49</f>
        <v>2.3373335772990854E-2</v>
      </c>
      <c r="J42" s="231"/>
    </row>
    <row r="43" spans="1:10" x14ac:dyDescent="0.2">
      <c r="A43" s="232">
        <f>Calc!A50</f>
        <v>4.1499199999999997E-3</v>
      </c>
      <c r="B43" s="232">
        <f>Calc!B50</f>
        <v>0.14365600000000001</v>
      </c>
      <c r="C43" s="231">
        <f>Calc!C50</f>
        <v>3.69177E-6</v>
      </c>
      <c r="D43" s="231">
        <f>Calc!G50</f>
        <v>295291744687327.87</v>
      </c>
      <c r="E43" s="231">
        <f>Calc!L50</f>
        <v>2.9129366017040335E-3</v>
      </c>
      <c r="F43" s="231">
        <f>Calc!O50</f>
        <v>343.15142989572718</v>
      </c>
      <c r="G43" s="231">
        <f ca="1">Calc!T50</f>
        <v>295291744687327.87</v>
      </c>
      <c r="H43" s="231" t="e">
        <f ca="1">Calc!V50</f>
        <v>#NAME?</v>
      </c>
      <c r="I43" s="231">
        <f ca="1">Calc!W50</f>
        <v>2.2258605874996371E-2</v>
      </c>
      <c r="J43" s="231"/>
    </row>
    <row r="44" spans="1:10" x14ac:dyDescent="0.2">
      <c r="A44" s="232">
        <f>Calc!A51</f>
        <v>4.2499199999999999E-3</v>
      </c>
      <c r="B44" s="232">
        <f>Calc!B51</f>
        <v>0.13892499999999999</v>
      </c>
      <c r="C44" s="231">
        <f>Calc!C51</f>
        <v>1.00785E-5</v>
      </c>
      <c r="D44" s="231">
        <f>Calc!G51</f>
        <v>285466686919810.87</v>
      </c>
      <c r="E44" s="231">
        <f>Calc!L51</f>
        <v>2.9648904029836807E-3</v>
      </c>
      <c r="F44" s="231">
        <f>Calc!O51</f>
        <v>337.14531981963222</v>
      </c>
      <c r="G44" s="231">
        <f ca="1">Calc!T51</f>
        <v>285466686919810.87</v>
      </c>
      <c r="H44" s="231" t="e">
        <f ca="1">Calc!V51</f>
        <v>#NAME?</v>
      </c>
      <c r="I44" s="231">
        <f ca="1">Calc!W51</f>
        <v>2.114094891643083E-2</v>
      </c>
      <c r="J44" s="231"/>
    </row>
    <row r="45" spans="1:10" x14ac:dyDescent="0.2">
      <c r="A45" s="232">
        <f>Calc!A52</f>
        <v>4.3499200000000002E-3</v>
      </c>
      <c r="B45" s="232">
        <f>Calc!B52</f>
        <v>0.134379</v>
      </c>
      <c r="C45" s="231">
        <f>Calc!C52</f>
        <v>1.47269E-5</v>
      </c>
      <c r="D45" s="231">
        <f>Calc!G52</f>
        <v>276032084191849.72</v>
      </c>
      <c r="E45" s="231">
        <f>Calc!L52</f>
        <v>3.0230157278317857E-3</v>
      </c>
      <c r="F45" s="231">
        <f>Calc!O52</f>
        <v>330.66901870487089</v>
      </c>
      <c r="G45" s="231">
        <f ca="1">Calc!T52</f>
        <v>276032084191849.72</v>
      </c>
      <c r="H45" s="231" t="e">
        <f ca="1">Calc!V52</f>
        <v>#NAME?</v>
      </c>
      <c r="I45" s="231">
        <f ca="1">Calc!W52</f>
        <v>2.0049190590773005E-2</v>
      </c>
      <c r="J45" s="231"/>
    </row>
    <row r="46" spans="1:10" x14ac:dyDescent="0.2">
      <c r="A46" s="232">
        <f>Calc!A53</f>
        <v>4.4499199999999996E-3</v>
      </c>
      <c r="B46" s="232">
        <f>Calc!B53</f>
        <v>0.130186</v>
      </c>
      <c r="C46" s="231">
        <f>Calc!C53</f>
        <v>1.0371500000000001E-5</v>
      </c>
      <c r="D46" s="231">
        <f>Calc!G53</f>
        <v>267335531683775.34</v>
      </c>
      <c r="E46" s="231">
        <f>Calc!L53</f>
        <v>3.0796855133693886E-3</v>
      </c>
      <c r="F46" s="231">
        <f>Calc!O53</f>
        <v>324.58984201960686</v>
      </c>
      <c r="G46" s="231">
        <f ca="1">Calc!T53</f>
        <v>267335531683775.34</v>
      </c>
      <c r="H46" s="231" t="e">
        <f ca="1">Calc!V53</f>
        <v>#NAME?</v>
      </c>
      <c r="I46" s="231">
        <f ca="1">Calc!W53</f>
        <v>1.9060224039137881E-2</v>
      </c>
      <c r="J46" s="231"/>
    </row>
    <row r="47" spans="1:10" x14ac:dyDescent="0.2">
      <c r="A47" s="232">
        <f>Calc!A54</f>
        <v>4.5499199999999998E-3</v>
      </c>
      <c r="B47" s="232">
        <f>Calc!B54</f>
        <v>0.12602099999999999</v>
      </c>
      <c r="C47" s="231">
        <f>Calc!C54</f>
        <v>1.0664400000000001E-5</v>
      </c>
      <c r="D47" s="231">
        <f>Calc!G54</f>
        <v>258702236615495.5</v>
      </c>
      <c r="E47" s="231">
        <f>Calc!L54</f>
        <v>3.1258045986988451E-3</v>
      </c>
      <c r="F47" s="231">
        <f>Calc!O54</f>
        <v>319.80653173469352</v>
      </c>
      <c r="G47" s="231">
        <f ca="1">Calc!T54</f>
        <v>258702236615495.5</v>
      </c>
      <c r="H47" s="231" t="e">
        <f ca="1">Calc!V54</f>
        <v>#NAME?</v>
      </c>
      <c r="I47" s="231">
        <f ca="1">Calc!W54</f>
        <v>1.8172557181959877E-2</v>
      </c>
      <c r="J47" s="231"/>
    </row>
    <row r="48" spans="1:10" x14ac:dyDescent="0.2">
      <c r="A48" s="232">
        <f>Calc!A55</f>
        <v>4.6499200000000001E-3</v>
      </c>
      <c r="B48" s="232">
        <f>Calc!B55</f>
        <v>0.122172</v>
      </c>
      <c r="C48" s="231">
        <f>Calc!C55</f>
        <v>7.6956800000000002E-6</v>
      </c>
      <c r="D48" s="231">
        <f>Calc!G55</f>
        <v>250728553719988.62</v>
      </c>
      <c r="E48" s="231">
        <f>Calc!L55</f>
        <v>3.1594819014605013E-3</v>
      </c>
      <c r="F48" s="231">
        <f>Calc!O55</f>
        <v>316.40323369770056</v>
      </c>
      <c r="G48" s="231">
        <f ca="1">Calc!T55</f>
        <v>250728553719988.62</v>
      </c>
      <c r="H48" s="231" t="e">
        <f ca="1">Calc!V55</f>
        <v>#NAME?</v>
      </c>
      <c r="I48" s="231">
        <f ca="1">Calc!W55</f>
        <v>1.7424712053464912E-2</v>
      </c>
      <c r="J48" s="231"/>
    </row>
    <row r="49" spans="1:10" x14ac:dyDescent="0.2">
      <c r="A49" s="232">
        <f>Calc!A56</f>
        <v>4.7499200000000004E-3</v>
      </c>
      <c r="B49" s="232">
        <f>Calc!B56</f>
        <v>0.11841699999999999</v>
      </c>
      <c r="C49" s="231">
        <f>Calc!C56</f>
        <v>5.0980199999999999E-6</v>
      </c>
      <c r="D49" s="231">
        <f>Calc!G56</f>
        <v>242953869927931.78</v>
      </c>
      <c r="E49" s="231">
        <f>Calc!L56</f>
        <v>3.1859347526310314E-3</v>
      </c>
      <c r="F49" s="231">
        <f>Calc!O56</f>
        <v>313.78163916790527</v>
      </c>
      <c r="G49" s="231">
        <f ca="1">Calc!T56</f>
        <v>242953869927931.78</v>
      </c>
      <c r="H49" s="231" t="e">
        <f ca="1">Calc!V56</f>
        <v>#NAME?</v>
      </c>
      <c r="I49" s="231">
        <f ca="1">Calc!W56</f>
        <v>1.6744208773604611E-2</v>
      </c>
      <c r="J49" s="231"/>
    </row>
    <row r="50" spans="1:10" x14ac:dyDescent="0.2">
      <c r="A50" s="232">
        <f>Calc!A57</f>
        <v>4.8499199999999998E-3</v>
      </c>
      <c r="B50" s="232">
        <f>Calc!B57</f>
        <v>0.11483</v>
      </c>
      <c r="C50" s="231">
        <f>Calc!C57</f>
        <v>4.0238000000000003E-6</v>
      </c>
      <c r="D50" s="231">
        <f>Calc!G57</f>
        <v>235530969976970.41</v>
      </c>
      <c r="E50" s="231">
        <f>Calc!L57</f>
        <v>3.2515864407214965E-3</v>
      </c>
      <c r="F50" s="231">
        <f>Calc!O57</f>
        <v>307.4500971702991</v>
      </c>
      <c r="G50" s="231">
        <f ca="1">Calc!T57</f>
        <v>235530969976970.41</v>
      </c>
      <c r="H50" s="231" t="e">
        <f ca="1">Calc!V57</f>
        <v>#NAME?</v>
      </c>
      <c r="I50" s="231">
        <f ca="1">Calc!W57</f>
        <v>1.5904880235284757E-2</v>
      </c>
      <c r="J50" s="231"/>
    </row>
    <row r="51" spans="1:10" x14ac:dyDescent="0.2">
      <c r="A51" s="232">
        <f>Calc!A58</f>
        <v>4.94992E-3</v>
      </c>
      <c r="B51" s="232">
        <f>Calc!B58</f>
        <v>0.111272</v>
      </c>
      <c r="C51" s="231">
        <f>Calc!C58</f>
        <v>8.7503699999999997E-6</v>
      </c>
      <c r="D51" s="231">
        <f>Calc!G58</f>
        <v>228171893901418.09</v>
      </c>
      <c r="E51" s="231">
        <f>Calc!L58</f>
        <v>3.2760463977614014E-3</v>
      </c>
      <c r="F51" s="231">
        <f>Calc!O58</f>
        <v>305.15955846671829</v>
      </c>
      <c r="G51" s="231">
        <f ca="1">Calc!T58</f>
        <v>228171893901418.09</v>
      </c>
      <c r="H51" s="231" t="e">
        <f ca="1">Calc!V58</f>
        <v>#NAME?</v>
      </c>
      <c r="I51" s="231">
        <f ca="1">Calc!W58</f>
        <v>1.5292897922717508E-2</v>
      </c>
      <c r="J51" s="231"/>
    </row>
    <row r="52" spans="1:10" x14ac:dyDescent="0.2">
      <c r="A52" s="232">
        <f>Calc!A59</f>
        <v>5.0499200000000003E-3</v>
      </c>
      <c r="B52" s="232">
        <f>Calc!B59</f>
        <v>0.108239</v>
      </c>
      <c r="C52" s="231">
        <f>Calc!C59</f>
        <v>8.0277100000000001E-6</v>
      </c>
      <c r="D52" s="231">
        <f>Calc!G59</f>
        <v>221901687115068.94</v>
      </c>
      <c r="E52" s="231">
        <f>Calc!L59</f>
        <v>3.3038165824217885E-3</v>
      </c>
      <c r="F52" s="231">
        <f>Calc!O59</f>
        <v>302.5985021899595</v>
      </c>
      <c r="G52" s="231">
        <f ca="1">Calc!T59</f>
        <v>221901687115068.94</v>
      </c>
      <c r="H52" s="231" t="e">
        <f ca="1">Calc!V59</f>
        <v>#NAME?</v>
      </c>
      <c r="I52" s="231">
        <f ca="1">Calc!W59</f>
        <v>1.4747634374050939E-2</v>
      </c>
      <c r="J52" s="231"/>
    </row>
    <row r="53" spans="1:10" x14ac:dyDescent="0.2">
      <c r="A53" s="232">
        <f>Calc!A60</f>
        <v>5.1499199999999997E-3</v>
      </c>
      <c r="B53" s="232">
        <f>Calc!B60</f>
        <v>0.10487200000000001</v>
      </c>
      <c r="C53" s="231">
        <f>Calc!C60</f>
        <v>4.43396E-6</v>
      </c>
      <c r="D53" s="231">
        <f>Calc!G60</f>
        <v>214944234441233.69</v>
      </c>
      <c r="E53" s="231">
        <f>Calc!L60</f>
        <v>3.3307224249587704E-3</v>
      </c>
      <c r="F53" s="231">
        <f>Calc!O60</f>
        <v>300.15847225303088</v>
      </c>
      <c r="G53" s="231">
        <f ca="1">Calc!T60</f>
        <v>214944234441233.69</v>
      </c>
      <c r="H53" s="231" t="e">
        <f ca="1">Calc!V60</f>
        <v>#NAME?</v>
      </c>
      <c r="I53" s="231">
        <f ca="1">Calc!W60</f>
        <v>1.4169843239127289E-2</v>
      </c>
      <c r="J53" s="231"/>
    </row>
    <row r="54" spans="1:10" x14ac:dyDescent="0.2">
      <c r="A54" s="232">
        <f>Calc!A61</f>
        <v>5.2499199999999999E-3</v>
      </c>
      <c r="B54" s="232">
        <f>Calc!B61</f>
        <v>0.101782</v>
      </c>
      <c r="C54" s="231">
        <f>Calc!C61</f>
        <v>9.6292700000000007E-6</v>
      </c>
      <c r="D54" s="231">
        <f>Calc!G61</f>
        <v>208562171619336.12</v>
      </c>
      <c r="E54" s="231">
        <f>Calc!L61</f>
        <v>3.3011182598063475E-3</v>
      </c>
      <c r="F54" s="231">
        <f>Calc!O61</f>
        <v>302.85544398690126</v>
      </c>
      <c r="G54" s="231">
        <f ca="1">Calc!T61</f>
        <v>208562171619336.12</v>
      </c>
      <c r="H54" s="231" t="e">
        <f ca="1">Calc!V61</f>
        <v>#NAME?</v>
      </c>
      <c r="I54" s="231">
        <f ca="1">Calc!W61</f>
        <v>1.387241727843525E-2</v>
      </c>
      <c r="J54" s="231"/>
    </row>
    <row r="55" spans="1:10" x14ac:dyDescent="0.2">
      <c r="A55" s="232">
        <f>Calc!A62</f>
        <v>5.3499200000000002E-3</v>
      </c>
      <c r="B55" s="232">
        <f>Calc!B62</f>
        <v>9.8881800000000006E-2</v>
      </c>
      <c r="C55" s="231">
        <f>Calc!C62</f>
        <v>6.6800499999999997E-6</v>
      </c>
      <c r="D55" s="231">
        <f>Calc!G62</f>
        <v>202574742700260.56</v>
      </c>
      <c r="E55" s="231">
        <f>Calc!L62</f>
        <v>3.3891493442111714E-3</v>
      </c>
      <c r="F55" s="231">
        <f>Calc!O62</f>
        <v>294.99116960021649</v>
      </c>
      <c r="G55" s="231">
        <f ca="1">Calc!T62</f>
        <v>202574742700260.56</v>
      </c>
      <c r="H55" s="231" t="e">
        <f ca="1">Calc!V62</f>
        <v>#NAME?</v>
      </c>
      <c r="I55" s="231">
        <f ca="1">Calc!W62</f>
        <v>1.3124182949611001E-2</v>
      </c>
      <c r="J55" s="231"/>
    </row>
    <row r="56" spans="1:10" x14ac:dyDescent="0.2">
      <c r="A56" s="232">
        <f>Calc!A63</f>
        <v>5.4499199999999996E-3</v>
      </c>
      <c r="B56" s="232">
        <f>Calc!B63</f>
        <v>9.5936499999999994E-2</v>
      </c>
      <c r="C56" s="231">
        <f>Calc!C63</f>
        <v>5.1566199999999996E-6</v>
      </c>
      <c r="D56" s="231">
        <f>Calc!G63</f>
        <v>196496808621178.62</v>
      </c>
      <c r="E56" s="231">
        <f>Calc!L63</f>
        <v>3.4473435776619724E-3</v>
      </c>
      <c r="F56" s="231">
        <f>Calc!O63</f>
        <v>290.01433206913777</v>
      </c>
      <c r="G56" s="231">
        <f ca="1">Calc!T63</f>
        <v>196496808621178.62</v>
      </c>
      <c r="H56" s="231" t="e">
        <f ca="1">Calc!V63</f>
        <v>#NAME?</v>
      </c>
      <c r="I56" s="231">
        <f ca="1">Calc!W63</f>
        <v>1.2515511925095705E-2</v>
      </c>
      <c r="J56" s="231"/>
    </row>
    <row r="57" spans="1:10" x14ac:dyDescent="0.2">
      <c r="A57" s="232">
        <f>Calc!A64</f>
        <v>5.5499199999999999E-3</v>
      </c>
      <c r="B57" s="232">
        <f>Calc!B64</f>
        <v>9.3315899999999993E-2</v>
      </c>
      <c r="C57" s="231">
        <f>Calc!C64</f>
        <v>1.07035E-5</v>
      </c>
      <c r="D57" s="231">
        <f>Calc!G64</f>
        <v>191091136040074.66</v>
      </c>
      <c r="E57" s="231">
        <f>Calc!L64</f>
        <v>3.4799644934388452E-3</v>
      </c>
      <c r="F57" s="231">
        <f>Calc!O64</f>
        <v>287.29863751057775</v>
      </c>
      <c r="G57" s="231">
        <f ca="1">Calc!T64</f>
        <v>191091136040074.66</v>
      </c>
      <c r="H57" s="231" t="e">
        <f ca="1">Calc!V64</f>
        <v>#NAME?</v>
      </c>
      <c r="I57" s="231">
        <f ca="1">Calc!W64</f>
        <v>1.2057115353819661E-2</v>
      </c>
      <c r="J57" s="231"/>
    </row>
    <row r="58" spans="1:10" x14ac:dyDescent="0.2">
      <c r="A58" s="232">
        <f>Calc!A65</f>
        <v>5.6499200000000001E-3</v>
      </c>
      <c r="B58" s="232">
        <f>Calc!B65</f>
        <v>9.0751899999999996E-2</v>
      </c>
      <c r="C58" s="231">
        <f>Calc!C65</f>
        <v>5.4724200000000002E-7</v>
      </c>
      <c r="D58" s="231">
        <f>Calc!G65</f>
        <v>185804232438349.72</v>
      </c>
      <c r="E58" s="231">
        <f>Calc!L65</f>
        <v>3.513763777722452E-3</v>
      </c>
      <c r="F58" s="231">
        <f>Calc!O65</f>
        <v>284.53780464428769</v>
      </c>
      <c r="G58" s="231">
        <f ca="1">Calc!T65</f>
        <v>185804232438349.72</v>
      </c>
      <c r="H58" s="231" t="e">
        <f ca="1">Calc!V65</f>
        <v>#NAME?</v>
      </c>
      <c r="I58" s="231">
        <f ca="1">Calc!W65</f>
        <v>1.1610762122884736E-2</v>
      </c>
      <c r="J58" s="231"/>
    </row>
    <row r="59" spans="1:10" x14ac:dyDescent="0.2">
      <c r="A59" s="232">
        <f>Calc!A66</f>
        <v>5.7499200000000004E-3</v>
      </c>
      <c r="B59" s="232">
        <f>Calc!B66</f>
        <v>8.8161600000000007E-2</v>
      </c>
      <c r="C59" s="231">
        <f>Calc!C66</f>
        <v>-1.6793200000000001E-6</v>
      </c>
      <c r="D59" s="231">
        <f>Calc!G66</f>
        <v>180465127663875.91</v>
      </c>
      <c r="E59" s="231">
        <f>Calc!L66</f>
        <v>3.5309161909162197E-3</v>
      </c>
      <c r="F59" s="231">
        <f>Calc!O66</f>
        <v>283.15855047853654</v>
      </c>
      <c r="G59" s="231">
        <f ca="1">Calc!T66</f>
        <v>180465127663875.91</v>
      </c>
      <c r="H59" s="231" t="e">
        <f ca="1">Calc!V66</f>
        <v>#NAME?</v>
      </c>
      <c r="I59" s="231">
        <f ca="1">Calc!W66</f>
        <v>1.122234382127397E-2</v>
      </c>
      <c r="J59" s="231"/>
    </row>
    <row r="60" spans="1:10" x14ac:dyDescent="0.2">
      <c r="A60" s="232">
        <f>Calc!A67</f>
        <v>5.8499199999999998E-3</v>
      </c>
      <c r="B60" s="232">
        <f>Calc!B67</f>
        <v>8.5688899999999998E-2</v>
      </c>
      <c r="C60" s="231">
        <f>Calc!C67</f>
        <v>-1.3105099999999999E-5</v>
      </c>
      <c r="D60" s="231">
        <f>Calc!G67</f>
        <v>175370324529450.56</v>
      </c>
      <c r="E60" s="231">
        <f>Calc!L67</f>
        <v>3.5575810755390908E-3</v>
      </c>
      <c r="F60" s="231">
        <f>Calc!O67</f>
        <v>281.03881654100655</v>
      </c>
      <c r="G60" s="231">
        <f ca="1">Calc!T67</f>
        <v>175370324529450.56</v>
      </c>
      <c r="H60" s="231" t="e">
        <f ca="1">Calc!V67</f>
        <v>#NAME?</v>
      </c>
      <c r="I60" s="231">
        <f ca="1">Calc!W67</f>
        <v>1.0823780734741256E-2</v>
      </c>
      <c r="J60" s="231"/>
    </row>
    <row r="61" spans="1:10" x14ac:dyDescent="0.2">
      <c r="A61" s="232">
        <f>Calc!A68</f>
        <v>5.94992E-3</v>
      </c>
      <c r="B61" s="232">
        <f>Calc!B68</f>
        <v>8.3447199999999999E-2</v>
      </c>
      <c r="C61" s="231">
        <f>Calc!C68</f>
        <v>-6.3668200000000003E-6</v>
      </c>
      <c r="D61" s="231">
        <f>Calc!G68</f>
        <v>170753089832222.47</v>
      </c>
      <c r="E61" s="231">
        <f>Calc!L68</f>
        <v>3.6313521829164108E-3</v>
      </c>
      <c r="F61" s="231">
        <f>Calc!O68</f>
        <v>275.3311142089579</v>
      </c>
      <c r="G61" s="231">
        <f ca="1">Calc!T68</f>
        <v>170753089832222.47</v>
      </c>
      <c r="H61" s="231" t="e">
        <f ca="1">Calc!V68</f>
        <v>#NAME?</v>
      </c>
      <c r="I61" s="231">
        <f ca="1">Calc!W68</f>
        <v>1.0324710592945782E-2</v>
      </c>
      <c r="J61" s="231"/>
    </row>
    <row r="62" spans="1:10" x14ac:dyDescent="0.2">
      <c r="A62" s="232">
        <f>Calc!A69</f>
        <v>6.0499200000000003E-3</v>
      </c>
      <c r="B62" s="232">
        <f>Calc!B69</f>
        <v>8.1144999999999995E-2</v>
      </c>
      <c r="C62" s="231">
        <f>Calc!C69</f>
        <v>1.46521E-6</v>
      </c>
      <c r="D62" s="231">
        <f>Calc!G69</f>
        <v>166012840542481</v>
      </c>
      <c r="E62" s="231">
        <f>Calc!L69</f>
        <v>3.6868280405814823E-3</v>
      </c>
      <c r="F62" s="231">
        <f>Calc!O69</f>
        <v>271.19011694486574</v>
      </c>
      <c r="G62" s="231">
        <f ca="1">Calc!T69</f>
        <v>166012840542481</v>
      </c>
      <c r="H62" s="231" t="e">
        <f ca="1">Calc!V69</f>
        <v>#NAME?</v>
      </c>
      <c r="I62" s="231">
        <f ca="1">Calc!W69</f>
        <v>9.8870444145992675E-3</v>
      </c>
      <c r="J62" s="231"/>
    </row>
    <row r="63" spans="1:10" x14ac:dyDescent="0.2">
      <c r="A63" s="232">
        <f>Calc!A70</f>
        <v>6.1499199999999997E-3</v>
      </c>
      <c r="B63" s="232">
        <f>Calc!B70</f>
        <v>7.9017100000000007E-2</v>
      </c>
      <c r="C63" s="231">
        <f>Calc!C70</f>
        <v>-9.4136999999999993E-6</v>
      </c>
      <c r="D63" s="231">
        <f>Calc!G70</f>
        <v>161632918194772.56</v>
      </c>
      <c r="E63" s="231">
        <f>Calc!L70</f>
        <v>3.668156210365126E-3</v>
      </c>
      <c r="F63" s="231">
        <f>Calc!O70</f>
        <v>272.57315737835194</v>
      </c>
      <c r="G63" s="231">
        <f ca="1">Calc!T70</f>
        <v>161632918194772.56</v>
      </c>
      <c r="H63" s="231" t="e">
        <f ca="1">Calc!V70</f>
        <v>#NAME?</v>
      </c>
      <c r="I63" s="231">
        <f ca="1">Calc!W70</f>
        <v>9.6751939196449317E-3</v>
      </c>
      <c r="J63" s="231"/>
    </row>
    <row r="64" spans="1:10" x14ac:dyDescent="0.2">
      <c r="A64" s="232">
        <f>Calc!A71</f>
        <v>6.24992E-3</v>
      </c>
      <c r="B64" s="232">
        <f>Calc!B71</f>
        <v>7.6967800000000003E-2</v>
      </c>
      <c r="C64" s="231">
        <f>Calc!C71</f>
        <v>-6.5035399999999999E-6</v>
      </c>
      <c r="D64" s="231">
        <f>Calc!G71</f>
        <v>157416091980848.34</v>
      </c>
      <c r="E64" s="231">
        <f>Calc!L71</f>
        <v>3.7042414152865452E-3</v>
      </c>
      <c r="F64" s="231">
        <f>Calc!O71</f>
        <v>269.91967200462017</v>
      </c>
      <c r="G64" s="231">
        <f ca="1">Calc!T71</f>
        <v>157416091980848.34</v>
      </c>
      <c r="H64" s="231" t="e">
        <f ca="1">Calc!V71</f>
        <v>#NAME?</v>
      </c>
      <c r="I64" s="231">
        <f ca="1">Calc!W71</f>
        <v>9.3309858264589898E-3</v>
      </c>
      <c r="J64" s="231"/>
    </row>
    <row r="65" spans="1:10" x14ac:dyDescent="0.2">
      <c r="A65" s="232">
        <f>Calc!A72</f>
        <v>6.3499200000000002E-3</v>
      </c>
      <c r="B65" s="232">
        <f>Calc!B72</f>
        <v>7.4830499999999994E-2</v>
      </c>
      <c r="C65" s="231">
        <f>Calc!C72</f>
        <v>-6.8322699999999998E-7</v>
      </c>
      <c r="D65" s="231">
        <f>Calc!G72</f>
        <v>153019561854072.06</v>
      </c>
      <c r="E65" s="231">
        <f>Calc!L72</f>
        <v>3.7433460899261371E-3</v>
      </c>
      <c r="F65" s="231">
        <f>Calc!O72</f>
        <v>267.10180579641866</v>
      </c>
      <c r="G65" s="231">
        <f ca="1">Calc!T72</f>
        <v>153019561854072.06</v>
      </c>
      <c r="H65" s="231" t="e">
        <f ca="1">Calc!V72</f>
        <v>#NAME?</v>
      </c>
      <c r="I65" s="231">
        <f ca="1">Calc!W72</f>
        <v>8.9756241618880964E-3</v>
      </c>
      <c r="J65" s="231"/>
    </row>
    <row r="66" spans="1:10" x14ac:dyDescent="0.2">
      <c r="A66" s="232">
        <f>Calc!A73</f>
        <v>6.4499199999999996E-3</v>
      </c>
      <c r="B66" s="232">
        <f>Calc!B73</f>
        <v>7.2910600000000006E-2</v>
      </c>
      <c r="C66" s="231">
        <f>Calc!C73</f>
        <v>1.6269900000000002E-5</v>
      </c>
      <c r="D66" s="231">
        <f>Calc!G73</f>
        <v>149071431137973.34</v>
      </c>
      <c r="E66" s="231">
        <f>Calc!L73</f>
        <v>3.7949458841544602E-3</v>
      </c>
      <c r="F66" s="231">
        <f>Calc!O73</f>
        <v>263.47147989668343</v>
      </c>
      <c r="G66" s="231">
        <f ca="1">Calc!T73</f>
        <v>149071431137973.34</v>
      </c>
      <c r="H66" s="231" t="e">
        <f ca="1">Calc!V73</f>
        <v>#NAME?</v>
      </c>
      <c r="I66" s="231">
        <f ca="1">Calc!W73</f>
        <v>8.6251472874885465E-3</v>
      </c>
      <c r="J66" s="231"/>
    </row>
    <row r="67" spans="1:10" x14ac:dyDescent="0.2">
      <c r="A67" s="232">
        <f>Calc!A74</f>
        <v>6.5499199999999999E-3</v>
      </c>
      <c r="B67" s="232">
        <f>Calc!B74</f>
        <v>7.1108400000000002E-2</v>
      </c>
      <c r="C67" s="231">
        <f>Calc!C74</f>
        <v>2.1191799999999999E-5</v>
      </c>
      <c r="D67" s="231">
        <f>Calc!G74</f>
        <v>145366374120225.19</v>
      </c>
      <c r="E67" s="231">
        <f>Calc!L74</f>
        <v>3.8374032148487847E-3</v>
      </c>
      <c r="F67" s="231">
        <f>Calc!O74</f>
        <v>260.5578135066101</v>
      </c>
      <c r="G67" s="231">
        <f ca="1">Calc!T74</f>
        <v>145366374120225.19</v>
      </c>
      <c r="H67" s="231" t="e">
        <f ca="1">Calc!V74</f>
        <v>#NAME?</v>
      </c>
      <c r="I67" s="231">
        <f ca="1">Calc!W74</f>
        <v>8.3177183285954026E-3</v>
      </c>
      <c r="J67" s="231"/>
    </row>
    <row r="68" spans="1:10" x14ac:dyDescent="0.2">
      <c r="A68" s="232">
        <f>Calc!A75</f>
        <v>6.6499200000000001E-3</v>
      </c>
      <c r="B68" s="232">
        <f>Calc!B75</f>
        <v>6.9276799999999999E-2</v>
      </c>
      <c r="C68" s="231">
        <f>Calc!C75</f>
        <v>1.2598E-5</v>
      </c>
      <c r="D68" s="231">
        <f>Calc!G75</f>
        <v>141601901013340.94</v>
      </c>
      <c r="E68" s="231">
        <f>Calc!L75</f>
        <v>3.7597046395482061E-3</v>
      </c>
      <c r="F68" s="231">
        <f>Calc!O75</f>
        <v>265.94505546467155</v>
      </c>
      <c r="G68" s="231">
        <f ca="1">Calc!T75</f>
        <v>141601901013340.94</v>
      </c>
      <c r="H68" s="231" t="e">
        <f ca="1">Calc!V75</f>
        <v>#NAME?</v>
      </c>
      <c r="I68" s="231">
        <f ca="1">Calc!W75</f>
        <v>8.2697625902227664E-3</v>
      </c>
      <c r="J68" s="231"/>
    </row>
    <row r="69" spans="1:10" x14ac:dyDescent="0.2">
      <c r="A69" s="232">
        <f>Calc!A76</f>
        <v>6.7499200000000004E-3</v>
      </c>
      <c r="B69" s="232">
        <f>Calc!B76</f>
        <v>6.7433099999999996E-2</v>
      </c>
      <c r="C69" s="231">
        <f>Calc!C76</f>
        <v>9.6487999999999998E-6</v>
      </c>
      <c r="D69" s="231">
        <f>Calc!G76</f>
        <v>137813605029549.28</v>
      </c>
      <c r="E69" s="231">
        <f>Calc!L76</f>
        <v>3.7337833614253125E-3</v>
      </c>
      <c r="F69" s="231">
        <f>Calc!O76</f>
        <v>267.79333068229562</v>
      </c>
      <c r="G69" s="231">
        <f ca="1">Calc!T76</f>
        <v>137813605029549.28</v>
      </c>
      <c r="H69" s="231" t="e">
        <f ca="1">Calc!V76</f>
        <v>#NAME?</v>
      </c>
      <c r="I69" s="231">
        <f ca="1">Calc!W76</f>
        <v>8.104396192239266E-3</v>
      </c>
      <c r="J69" s="231"/>
    </row>
    <row r="70" spans="1:10" x14ac:dyDescent="0.2">
      <c r="A70" s="232">
        <f>Calc!A77</f>
        <v>6.8499199999999998E-3</v>
      </c>
      <c r="B70" s="232">
        <f>Calc!B77</f>
        <v>6.5584500000000004E-2</v>
      </c>
      <c r="C70" s="231">
        <f>Calc!C77</f>
        <v>1.6152699999999999E-5</v>
      </c>
      <c r="D70" s="231">
        <f>Calc!G77</f>
        <v>134016296376736.59</v>
      </c>
      <c r="E70" s="231">
        <f>Calc!L77</f>
        <v>3.8298802266901787E-3</v>
      </c>
      <c r="F70" s="231">
        <f>Calc!O77</f>
        <v>261.07495690781167</v>
      </c>
      <c r="G70" s="231">
        <f ca="1">Calc!T77</f>
        <v>134016296376736.59</v>
      </c>
      <c r="H70" s="231" t="e">
        <f ca="1">Calc!V77</f>
        <v>#NAME?</v>
      </c>
      <c r="I70" s="231">
        <f ca="1">Calc!W77</f>
        <v>7.6833409560403609E-3</v>
      </c>
      <c r="J70" s="231"/>
    </row>
    <row r="71" spans="1:10" x14ac:dyDescent="0.2">
      <c r="A71" s="232">
        <f>Calc!A78</f>
        <v>6.9499200000000001E-3</v>
      </c>
      <c r="B71" s="232">
        <f>Calc!B78</f>
        <v>6.3971700000000006E-2</v>
      </c>
      <c r="C71" s="231">
        <f>Calc!C78</f>
        <v>1.39261E-5</v>
      </c>
      <c r="D71" s="231">
        <f>Calc!G78</f>
        <v>130704221813503.11</v>
      </c>
      <c r="E71" s="231">
        <f>Calc!L78</f>
        <v>3.9474780133869902E-3</v>
      </c>
      <c r="F71" s="231">
        <f>Calc!O78</f>
        <v>253.29794137074234</v>
      </c>
      <c r="G71" s="231">
        <f ca="1">Calc!T78</f>
        <v>130704221813503.11</v>
      </c>
      <c r="H71" s="231" t="e">
        <f ca="1">Calc!V78</f>
        <v>#NAME?</v>
      </c>
      <c r="I71" s="231">
        <f ca="1">Calc!W78</f>
        <v>7.2702204923992281E-3</v>
      </c>
      <c r="J71" s="231"/>
    </row>
    <row r="72" spans="1:10" x14ac:dyDescent="0.2">
      <c r="A72" s="232">
        <f>Calc!A79</f>
        <v>7.0499200000000003E-3</v>
      </c>
      <c r="B72" s="232">
        <f>Calc!B79</f>
        <v>6.2489200000000002E-2</v>
      </c>
      <c r="C72" s="231">
        <f>Calc!C79</f>
        <v>1.17386E-5</v>
      </c>
      <c r="D72" s="231">
        <f>Calc!G79</f>
        <v>127660445425586.72</v>
      </c>
      <c r="E72" s="231">
        <f>Calc!L79</f>
        <v>3.9058012662298853E-3</v>
      </c>
      <c r="F72" s="231">
        <f>Calc!O79</f>
        <v>256.00235826075846</v>
      </c>
      <c r="G72" s="231">
        <f ca="1">Calc!T79</f>
        <v>127660445425586.72</v>
      </c>
      <c r="H72" s="231" t="e">
        <f ca="1">Calc!V79</f>
        <v>#NAME?</v>
      </c>
      <c r="I72" s="231">
        <f ca="1">Calc!W79</f>
        <v>7.176685254864373E-3</v>
      </c>
      <c r="J72" s="231"/>
    </row>
    <row r="73" spans="1:10" x14ac:dyDescent="0.2">
      <c r="A73" s="232">
        <f>Calc!A80</f>
        <v>7.1499199999999997E-3</v>
      </c>
      <c r="B73" s="232">
        <f>Calc!B80</f>
        <v>6.0918399999999998E-2</v>
      </c>
      <c r="C73" s="231">
        <f>Calc!C80</f>
        <v>1.1699600000000001E-5</v>
      </c>
      <c r="D73" s="231">
        <f>Calc!G80</f>
        <v>124436122043031.61</v>
      </c>
      <c r="E73" s="231">
        <f>Calc!L80</f>
        <v>3.7896131612125822E-3</v>
      </c>
      <c r="F73" s="231">
        <f>Calc!O80</f>
        <v>263.85347241970436</v>
      </c>
      <c r="G73" s="231">
        <f ca="1">Calc!T80</f>
        <v>124436122043031.61</v>
      </c>
      <c r="H73" s="231" t="e">
        <f ca="1">Calc!V80</f>
        <v>#NAME?</v>
      </c>
      <c r="I73" s="231">
        <f ca="1">Calc!W80</f>
        <v>7.2099005549624519E-3</v>
      </c>
      <c r="J73" s="231"/>
    </row>
    <row r="74" spans="1:10" x14ac:dyDescent="0.2">
      <c r="A74" s="232">
        <f>Calc!A81</f>
        <v>7.24992E-3</v>
      </c>
      <c r="B74" s="232">
        <f>Calc!B81</f>
        <v>5.9150399999999999E-2</v>
      </c>
      <c r="C74" s="231">
        <f>Calc!C81</f>
        <v>1.2187900000000001E-5</v>
      </c>
      <c r="D74" s="231">
        <f>Calc!G81</f>
        <v>120807931898835.5</v>
      </c>
      <c r="E74" s="231">
        <f>Calc!L81</f>
        <v>3.6568862037146886E-3</v>
      </c>
      <c r="F74" s="231">
        <f>Calc!O81</f>
        <v>273.43246386370743</v>
      </c>
      <c r="G74" s="231">
        <f ca="1">Calc!T81</f>
        <v>120807931898835.5</v>
      </c>
      <c r="H74" s="231" t="e">
        <f ca="1">Calc!V81</f>
        <v>#NAME?</v>
      </c>
      <c r="I74" s="231">
        <f ca="1">Calc!W81</f>
        <v>7.2537350777093302E-3</v>
      </c>
      <c r="J74" s="231"/>
    </row>
    <row r="75" spans="1:10" x14ac:dyDescent="0.2">
      <c r="A75" s="232">
        <f>Calc!A82</f>
        <v>7.3499200000000002E-3</v>
      </c>
      <c r="B75" s="232">
        <f>Calc!B82</f>
        <v>5.7641600000000001E-2</v>
      </c>
      <c r="C75" s="231">
        <f>Calc!C82</f>
        <v>1.44535E-5</v>
      </c>
      <c r="D75" s="231">
        <f>Calc!G82</f>
        <v>117712427874941.75</v>
      </c>
      <c r="E75" s="231">
        <f>Calc!L82</f>
        <v>3.8542771408798596E-3</v>
      </c>
      <c r="F75" s="231">
        <f>Calc!O82</f>
        <v>259.42902131772354</v>
      </c>
      <c r="G75" s="231">
        <f ca="1">Calc!T82</f>
        <v>117712427874941.75</v>
      </c>
      <c r="H75" s="231" t="e">
        <f ca="1">Calc!V82</f>
        <v>#NAME?</v>
      </c>
      <c r="I75" s="231">
        <f ca="1">Calc!W82</f>
        <v>6.705899870810288E-3</v>
      </c>
      <c r="J75" s="231"/>
    </row>
    <row r="76" spans="1:10" x14ac:dyDescent="0.2">
      <c r="A76" s="232">
        <f>Calc!A83</f>
        <v>7.4499199999999996E-3</v>
      </c>
      <c r="B76" s="232">
        <f>Calc!B83</f>
        <v>5.6077599999999998E-2</v>
      </c>
      <c r="C76" s="231">
        <f>Calc!C83</f>
        <v>1.4433999999999999E-5</v>
      </c>
      <c r="D76" s="231">
        <f>Calc!G83</f>
        <v>114504423868256.11</v>
      </c>
      <c r="E76" s="231">
        <f>Calc!L83</f>
        <v>3.9436419723869907E-3</v>
      </c>
      <c r="F76" s="231">
        <f>Calc!O83</f>
        <v>253.55094981486567</v>
      </c>
      <c r="G76" s="231">
        <f ca="1">Calc!T83</f>
        <v>114504423868256.11</v>
      </c>
      <c r="H76" s="231" t="e">
        <f ca="1">Calc!V83</f>
        <v>#NAME?</v>
      </c>
      <c r="I76" s="231">
        <f ca="1">Calc!W83</f>
        <v>6.3753271010611691E-3</v>
      </c>
      <c r="J76" s="231"/>
    </row>
    <row r="77" spans="1:10" x14ac:dyDescent="0.2">
      <c r="A77" s="232">
        <f>Calc!A84</f>
        <v>7.5499199999999999E-3</v>
      </c>
      <c r="B77" s="232">
        <f>Calc!B84</f>
        <v>5.5011200000000003E-2</v>
      </c>
      <c r="C77" s="231">
        <f>Calc!C84</f>
        <v>8.7308400000000006E-6</v>
      </c>
      <c r="D77" s="231">
        <f>Calc!G84</f>
        <v>112317512307562.3</v>
      </c>
      <c r="E77" s="231">
        <f>Calc!L84</f>
        <v>4.0629742749381855E-3</v>
      </c>
      <c r="F77" s="231">
        <f>Calc!O84</f>
        <v>246.10417110488254</v>
      </c>
      <c r="G77" s="231">
        <f ca="1">Calc!T84</f>
        <v>112317512307562.3</v>
      </c>
      <c r="H77" s="231" t="e">
        <f ca="1">Calc!V84</f>
        <v>#NAME?</v>
      </c>
      <c r="I77" s="231">
        <f ca="1">Calc!W84</f>
        <v>6.0698937585341693E-3</v>
      </c>
      <c r="J77" s="231"/>
    </row>
    <row r="78" spans="1:10" x14ac:dyDescent="0.2">
      <c r="A78" s="232">
        <f>Calc!A85</f>
        <v>7.6499200000000002E-3</v>
      </c>
      <c r="B78" s="232">
        <f>Calc!B85</f>
        <v>5.3387200000000003E-2</v>
      </c>
      <c r="C78" s="231">
        <f>Calc!C85</f>
        <v>3.1286699999999999E-7</v>
      </c>
      <c r="D78" s="231">
        <f>Calc!G85</f>
        <v>108987790890595.67</v>
      </c>
      <c r="E78" s="231">
        <f>Calc!L85</f>
        <v>4.0239901076414477E-3</v>
      </c>
      <c r="F78" s="231">
        <f>Calc!O85</f>
        <v>248.48983920093832</v>
      </c>
      <c r="G78" s="231">
        <f ca="1">Calc!T85</f>
        <v>108987790890595.67</v>
      </c>
      <c r="H78" s="231" t="e">
        <f ca="1">Calc!V85</f>
        <v>#NAME?</v>
      </c>
      <c r="I78" s="231">
        <f ca="1">Calc!W85</f>
        <v>5.9470094942288155E-3</v>
      </c>
      <c r="J78" s="231"/>
    </row>
    <row r="79" spans="1:10" x14ac:dyDescent="0.2">
      <c r="A79" s="232">
        <f>Calc!A86</f>
        <v>7.7499200000000004E-3</v>
      </c>
      <c r="B79" s="232">
        <f>Calc!B86</f>
        <v>5.2246099999999997E-2</v>
      </c>
      <c r="C79" s="231">
        <f>Calc!C86</f>
        <v>-1.7206699999999999E-5</v>
      </c>
      <c r="D79" s="231">
        <f>Calc!G86</f>
        <v>106648664194525.61</v>
      </c>
      <c r="E79" s="231">
        <f>Calc!L86</f>
        <v>3.8914757751932322E-3</v>
      </c>
      <c r="F79" s="231">
        <f>Calc!O86</f>
        <v>256.95303885635332</v>
      </c>
      <c r="G79" s="231">
        <f ca="1">Calc!T86</f>
        <v>106648664194525.61</v>
      </c>
      <c r="H79" s="231" t="e">
        <f ca="1">Calc!V86</f>
        <v>#NAME?</v>
      </c>
      <c r="I79" s="231">
        <f ca="1">Calc!W86</f>
        <v>6.0175370833371617E-3</v>
      </c>
      <c r="J79" s="231"/>
    </row>
    <row r="80" spans="1:10" x14ac:dyDescent="0.2">
      <c r="A80" s="232">
        <f>Calc!A87</f>
        <v>7.8499199999999998E-3</v>
      </c>
      <c r="B80" s="232">
        <f>Calc!B87</f>
        <v>5.0854499999999997E-2</v>
      </c>
      <c r="C80" s="231">
        <f>Calc!C87</f>
        <v>-1.9179300000000001E-5</v>
      </c>
      <c r="D80" s="231">
        <f>Calc!G87</f>
        <v>103796594095219.69</v>
      </c>
      <c r="E80" s="231">
        <f>Calc!L87</f>
        <v>4.0049169327812835E-3</v>
      </c>
      <c r="F80" s="231">
        <f>Calc!O87</f>
        <v>249.67518459426481</v>
      </c>
      <c r="G80" s="231">
        <f ca="1">Calc!T87</f>
        <v>103796594095219.69</v>
      </c>
      <c r="H80" s="231" t="e">
        <f ca="1">Calc!V87</f>
        <v>#NAME?</v>
      </c>
      <c r="I80" s="231">
        <f ca="1">Calc!W87</f>
        <v>5.6907207769971218E-3</v>
      </c>
      <c r="J80" s="231"/>
    </row>
    <row r="81" spans="1:10" x14ac:dyDescent="0.2">
      <c r="A81" s="232">
        <f>Calc!A88</f>
        <v>7.9499199999999992E-3</v>
      </c>
      <c r="B81" s="232">
        <f>Calc!B88</f>
        <v>4.9592299999999999E-2</v>
      </c>
      <c r="C81" s="231">
        <f>Calc!C88</f>
        <v>-1.4296499999999999E-5</v>
      </c>
      <c r="D81" s="231">
        <f>Calc!G88</f>
        <v>101210254725216.62</v>
      </c>
      <c r="E81" s="231">
        <f>Calc!L88</f>
        <v>3.8656724825665663E-3</v>
      </c>
      <c r="F81" s="231">
        <f>Calc!O88</f>
        <v>258.67019818733337</v>
      </c>
      <c r="G81" s="231">
        <f ca="1">Calc!T88</f>
        <v>101210254725216.62</v>
      </c>
      <c r="H81" s="231" t="e">
        <f ca="1">Calc!V88</f>
        <v>#NAME?</v>
      </c>
      <c r="I81" s="231">
        <f ca="1">Calc!W88</f>
        <v>5.7487993198428369E-3</v>
      </c>
      <c r="J81" s="231"/>
    </row>
    <row r="82" spans="1:10" x14ac:dyDescent="0.2">
      <c r="A82" s="232">
        <f>Calc!A89</f>
        <v>8.0499200000000003E-3</v>
      </c>
      <c r="B82" s="232">
        <f>Calc!B89</f>
        <v>4.8390599999999999E-2</v>
      </c>
      <c r="C82" s="231">
        <f>Calc!C89</f>
        <v>-1.8964500000000001E-5</v>
      </c>
      <c r="D82" s="231">
        <f>Calc!G89</f>
        <v>98748350560028.266</v>
      </c>
      <c r="E82" s="231">
        <f>Calc!L89</f>
        <v>3.8689171816721677E-3</v>
      </c>
      <c r="F82" s="231">
        <f>Calc!O89</f>
        <v>258.45406522772987</v>
      </c>
      <c r="G82" s="231">
        <f ca="1">Calc!T89</f>
        <v>98748350560028.266</v>
      </c>
      <c r="H82" s="231" t="e">
        <f ca="1">Calc!V89</f>
        <v>#NAME?</v>
      </c>
      <c r="I82" s="231">
        <f ca="1">Calc!W89</f>
        <v>5.6042577785980225E-3</v>
      </c>
      <c r="J82" s="231"/>
    </row>
    <row r="83" spans="1:10" x14ac:dyDescent="0.2">
      <c r="A83" s="232">
        <f>Calc!A90</f>
        <v>8.1499199999999997E-3</v>
      </c>
      <c r="B83" s="232">
        <f>Calc!B90</f>
        <v>4.70888E-2</v>
      </c>
      <c r="C83" s="231">
        <f>Calc!C90</f>
        <v>-2.6171499999999998E-5</v>
      </c>
      <c r="D83" s="231">
        <f>Calc!G90</f>
        <v>96081887136411.797</v>
      </c>
      <c r="E83" s="231">
        <f>Calc!L90</f>
        <v>3.9441149770010871E-3</v>
      </c>
      <c r="F83" s="231">
        <f>Calc!O90</f>
        <v>253.52697970763896</v>
      </c>
      <c r="G83" s="231">
        <f ca="1">Calc!T90</f>
        <v>96081887136411.797</v>
      </c>
      <c r="H83" s="231" t="e">
        <f ca="1">Calc!V90</f>
        <v>#NAME?</v>
      </c>
      <c r="I83" s="231">
        <f ca="1">Calc!W90</f>
        <v>5.3489636189427937E-3</v>
      </c>
      <c r="J83" s="231"/>
    </row>
    <row r="84" spans="1:10" x14ac:dyDescent="0.2">
      <c r="A84" s="232">
        <f>Calc!A91</f>
        <v>8.2499200000000009E-3</v>
      </c>
      <c r="B84" s="232">
        <f>Calc!B91</f>
        <v>4.5876399999999998E-2</v>
      </c>
      <c r="C84" s="231">
        <f>Calc!C91</f>
        <v>-1.6484E-5</v>
      </c>
      <c r="D84" s="231">
        <f>Calc!G91</f>
        <v>93599022348844.547</v>
      </c>
      <c r="E84" s="231">
        <f>Calc!L91</f>
        <v>4.0307131988779671E-3</v>
      </c>
      <c r="F84" s="231">
        <f>Calc!O91</f>
        <v>248.08050894330805</v>
      </c>
      <c r="G84" s="231">
        <f ca="1">Calc!T91</f>
        <v>93599022348844.547</v>
      </c>
      <c r="H84" s="231" t="e">
        <f ca="1">Calc!V91</f>
        <v>#NAME?</v>
      </c>
      <c r="I84" s="231">
        <f ca="1">Calc!W91</f>
        <v>5.0987897190878893E-3</v>
      </c>
      <c r="J84" s="231"/>
    </row>
    <row r="85" spans="1:10" x14ac:dyDescent="0.2">
      <c r="A85" s="232">
        <f>Calc!A92</f>
        <v>8.3499200000000003E-3</v>
      </c>
      <c r="B85" s="232">
        <f>Calc!B92</f>
        <v>4.4902299999999999E-2</v>
      </c>
      <c r="C85" s="231">
        <f>Calc!C92</f>
        <v>1.0312900000000001E-5</v>
      </c>
      <c r="D85" s="231">
        <f>Calc!G92</f>
        <v>91604507294039.844</v>
      </c>
      <c r="E85" s="231">
        <f>Calc!L92</f>
        <v>4.2639149047250472E-3</v>
      </c>
      <c r="F85" s="231">
        <f>Calc!O92</f>
        <v>234.51232664961304</v>
      </c>
      <c r="G85" s="231">
        <f ca="1">Calc!T92</f>
        <v>91604507294039.844</v>
      </c>
      <c r="H85" s="231" t="e">
        <f ca="1">Calc!V92</f>
        <v>#NAME?</v>
      </c>
      <c r="I85" s="231">
        <f ca="1">Calc!W92</f>
        <v>4.7172185829287639E-3</v>
      </c>
      <c r="J85" s="231"/>
    </row>
    <row r="86" spans="1:10" x14ac:dyDescent="0.2">
      <c r="A86" s="232">
        <f>Calc!A93</f>
        <v>8.4499199999999997E-3</v>
      </c>
      <c r="B86" s="232">
        <f>Calc!B93</f>
        <v>4.3813900000000003E-2</v>
      </c>
      <c r="C86" s="231">
        <f>Calc!C93</f>
        <v>1.8516E-5</v>
      </c>
      <c r="D86" s="231">
        <f>Calc!G93</f>
        <v>89376313330632.094</v>
      </c>
      <c r="E86" s="231">
        <f>Calc!L93</f>
        <v>4.1129529282695138E-3</v>
      </c>
      <c r="F86" s="231">
        <f>Calc!O93</f>
        <v>243.12105645220433</v>
      </c>
      <c r="G86" s="231">
        <f ca="1">Calc!T93</f>
        <v>89376313330632.094</v>
      </c>
      <c r="H86" s="231" t="e">
        <f ca="1">Calc!V93</f>
        <v>#NAME?</v>
      </c>
      <c r="I86" s="231">
        <f ca="1">Calc!W93</f>
        <v>4.7714061262076829E-3</v>
      </c>
      <c r="J86" s="231"/>
    </row>
    <row r="87" spans="1:10" x14ac:dyDescent="0.2">
      <c r="A87" s="232">
        <f>Calc!A94</f>
        <v>8.5499200000000008E-3</v>
      </c>
      <c r="B87" s="232">
        <f>Calc!B94</f>
        <v>4.2873500000000002E-2</v>
      </c>
      <c r="C87" s="231">
        <f>Calc!C94</f>
        <v>1.7148800000000001E-5</v>
      </c>
      <c r="D87" s="231">
        <f>Calc!G94</f>
        <v>87451410565290.719</v>
      </c>
      <c r="E87" s="231">
        <f>Calc!L94</f>
        <v>4.1533097139725503E-3</v>
      </c>
      <c r="F87" s="231">
        <f>Calc!O94</f>
        <v>240.75913945785996</v>
      </c>
      <c r="G87" s="231">
        <f ca="1">Calc!T94</f>
        <v>87451410565290.719</v>
      </c>
      <c r="H87" s="231" t="e">
        <f ca="1">Calc!V94</f>
        <v>#NAME?</v>
      </c>
      <c r="I87" s="231">
        <f ca="1">Calc!W94</f>
        <v>4.6232799049355112E-3</v>
      </c>
      <c r="J87" s="231"/>
    </row>
    <row r="88" spans="1:10" x14ac:dyDescent="0.2">
      <c r="A88" s="232">
        <f>Calc!A95</f>
        <v>8.6499200000000002E-3</v>
      </c>
      <c r="B88" s="232">
        <f>Calc!B95</f>
        <v>4.1583000000000002E-2</v>
      </c>
      <c r="C88" s="231">
        <f>Calc!C95</f>
        <v>2.0918299999999999E-5</v>
      </c>
      <c r="D88" s="231">
        <f>Calc!G95</f>
        <v>84810346276012.109</v>
      </c>
      <c r="E88" s="231">
        <f>Calc!L95</f>
        <v>4.0236274097178743E-3</v>
      </c>
      <c r="F88" s="231">
        <f>Calc!O95</f>
        <v>248.52001835831086</v>
      </c>
      <c r="G88" s="231">
        <f ca="1">Calc!T95</f>
        <v>84810346276012.109</v>
      </c>
      <c r="H88" s="231" t="e">
        <f ca="1">Calc!V95</f>
        <v>#NAME?</v>
      </c>
      <c r="I88" s="231">
        <f ca="1">Calc!W95</f>
        <v>4.6281642662682086E-3</v>
      </c>
      <c r="J88" s="231"/>
    </row>
    <row r="89" spans="1:10" x14ac:dyDescent="0.2">
      <c r="A89" s="232">
        <f>Calc!A96</f>
        <v>8.7499199999999996E-3</v>
      </c>
      <c r="B89" s="232">
        <f>Calc!B96</f>
        <v>4.0874000000000001E-2</v>
      </c>
      <c r="C89" s="231">
        <f>Calc!C96</f>
        <v>1.7285499999999999E-5</v>
      </c>
      <c r="D89" s="231">
        <f>Calc!G96</f>
        <v>83359572535953.625</v>
      </c>
      <c r="E89" s="231">
        <f>Calc!L96</f>
        <v>3.9832978403335365E-3</v>
      </c>
      <c r="F89" s="231">
        <f>Calc!O96</f>
        <v>251.03672700070808</v>
      </c>
      <c r="G89" s="231">
        <f ca="1">Calc!T96</f>
        <v>83359572535953.625</v>
      </c>
      <c r="H89" s="231" t="e">
        <f ca="1">Calc!V96</f>
        <v>#NAME?</v>
      </c>
      <c r="I89" s="231">
        <f ca="1">Calc!W96</f>
        <v>4.5950515140874455E-3</v>
      </c>
      <c r="J89" s="231"/>
    </row>
    <row r="90" spans="1:10" x14ac:dyDescent="0.2">
      <c r="A90" s="232">
        <f>Calc!A97</f>
        <v>8.8499200000000007E-3</v>
      </c>
      <c r="B90" s="232">
        <f>Calc!B97</f>
        <v>3.96636E-2</v>
      </c>
      <c r="C90" s="231">
        <f>Calc!C97</f>
        <v>7.9886500000000002E-6</v>
      </c>
      <c r="D90" s="231">
        <f>Calc!G97</f>
        <v>80883191619116.844</v>
      </c>
      <c r="E90" s="231">
        <f>Calc!L97</f>
        <v>4.1138296487896906E-3</v>
      </c>
      <c r="F90" s="231">
        <f>Calc!O97</f>
        <v>243.0716411985567</v>
      </c>
      <c r="G90" s="231">
        <f ca="1">Calc!T97</f>
        <v>80883191619116.844</v>
      </c>
      <c r="H90" s="231" t="e">
        <f ca="1">Calc!V97</f>
        <v>#NAME?</v>
      </c>
      <c r="I90" s="231">
        <f ca="1">Calc!W97</f>
        <v>4.3170756850586453E-3</v>
      </c>
      <c r="J90" s="231"/>
    </row>
    <row r="91" spans="1:10" x14ac:dyDescent="0.2">
      <c r="A91" s="232">
        <f>Calc!A98</f>
        <v>8.9499200000000001E-3</v>
      </c>
      <c r="B91" s="232">
        <f>Calc!B98</f>
        <v>3.8719200000000002E-2</v>
      </c>
      <c r="C91" s="231">
        <f>Calc!C98</f>
        <v>1.6601900000000001E-5</v>
      </c>
      <c r="D91" s="231">
        <f>Calc!G98</f>
        <v>78951349988999.906</v>
      </c>
      <c r="E91" s="231">
        <f>Calc!L98</f>
        <v>3.9113790970694891E-3</v>
      </c>
      <c r="F91" s="231">
        <f>Calc!O98</f>
        <v>255.65395298057513</v>
      </c>
      <c r="G91" s="231">
        <f ca="1">Calc!T98</f>
        <v>78951349988999.906</v>
      </c>
      <c r="H91" s="231" t="e">
        <f ca="1">Calc!V98</f>
        <v>#NAME?</v>
      </c>
      <c r="I91" s="231">
        <f ca="1">Calc!W98</f>
        <v>4.432077402088795E-3</v>
      </c>
      <c r="J91" s="231"/>
    </row>
    <row r="92" spans="1:10" x14ac:dyDescent="0.2">
      <c r="A92" s="232">
        <f>Calc!A99</f>
        <v>9.0499199999999995E-3</v>
      </c>
      <c r="B92" s="232">
        <f>Calc!B99</f>
        <v>3.7855E-2</v>
      </c>
      <c r="C92" s="231">
        <f>Calc!C99</f>
        <v>1.80277E-5</v>
      </c>
      <c r="D92" s="231">
        <f>Calc!G99</f>
        <v>77183813292876.031</v>
      </c>
      <c r="E92" s="231">
        <f>Calc!L99</f>
        <v>4.100764972987868E-3</v>
      </c>
      <c r="F92" s="231">
        <f>Calc!O99</f>
        <v>243.84705130842369</v>
      </c>
      <c r="G92" s="231">
        <f ca="1">Calc!T99</f>
        <v>77183813292876.031</v>
      </c>
      <c r="H92" s="231" t="e">
        <f ca="1">Calc!V99</f>
        <v>#NAME?</v>
      </c>
      <c r="I92" s="231">
        <f ca="1">Calc!W99</f>
        <v>4.1327490846511513E-3</v>
      </c>
      <c r="J92" s="231"/>
    </row>
    <row r="93" spans="1:10" x14ac:dyDescent="0.2">
      <c r="A93" s="232">
        <f>Calc!A100</f>
        <v>9.1499200000000006E-3</v>
      </c>
      <c r="B93" s="232">
        <f>Calc!B100</f>
        <v>3.6844200000000001E-2</v>
      </c>
      <c r="C93" s="231">
        <f>Calc!C100</f>
        <v>1.50394E-5</v>
      </c>
      <c r="D93" s="231">
        <f>Calc!G100</f>
        <v>75116740873343.734</v>
      </c>
      <c r="E93" s="231">
        <f>Calc!L100</f>
        <v>4.0456210268516226E-3</v>
      </c>
      <c r="F93" s="231">
        <f>Calc!O100</f>
        <v>247.17147248472807</v>
      </c>
      <c r="G93" s="231">
        <f ca="1">Calc!T100</f>
        <v>75116740873343.734</v>
      </c>
      <c r="H93" s="231" t="e">
        <f ca="1">Calc!V100</f>
        <v>#NAME?</v>
      </c>
      <c r="I93" s="231">
        <f ca="1">Calc!W100</f>
        <v>4.07689217357716E-3</v>
      </c>
      <c r="J93" s="231"/>
    </row>
    <row r="94" spans="1:10" x14ac:dyDescent="0.2">
      <c r="A94" s="232">
        <f>Calc!A101</f>
        <v>9.24992E-3</v>
      </c>
      <c r="B94" s="232">
        <f>Calc!B101</f>
        <v>3.5999499999999997E-2</v>
      </c>
      <c r="C94" s="231">
        <f>Calc!C101</f>
        <v>1.49027E-5</v>
      </c>
      <c r="D94" s="231">
        <f>Calc!G101</f>
        <v>73389591894293.625</v>
      </c>
      <c r="E94" s="231">
        <f>Calc!L101</f>
        <v>3.8920562152448416E-3</v>
      </c>
      <c r="F94" s="231">
        <f>Calc!O101</f>
        <v>256.9246553877278</v>
      </c>
      <c r="G94" s="231">
        <f ca="1">Calc!T101</f>
        <v>73389591894293.625</v>
      </c>
      <c r="H94" s="231" t="e">
        <f ca="1">Calc!V101</f>
        <v>#NAME?</v>
      </c>
      <c r="I94" s="231">
        <f ca="1">Calc!W101</f>
        <v>4.140311860493213E-3</v>
      </c>
      <c r="J94" s="231"/>
    </row>
    <row r="95" spans="1:10" x14ac:dyDescent="0.2">
      <c r="A95" s="232">
        <f>Calc!A102</f>
        <v>9.3499199999999994E-3</v>
      </c>
      <c r="B95" s="232">
        <f>Calc!B102</f>
        <v>3.5106900000000003E-2</v>
      </c>
      <c r="C95" s="231">
        <f>Calc!C102</f>
        <v>1.24418E-5</v>
      </c>
      <c r="D95" s="231">
        <f>Calc!G102</f>
        <v>71564751169433.766</v>
      </c>
      <c r="E95" s="231">
        <f>Calc!L102</f>
        <v>3.9917364214612583E-3</v>
      </c>
      <c r="F95" s="231">
        <f>Calc!O102</f>
        <v>250.50904113507104</v>
      </c>
      <c r="G95" s="231">
        <f ca="1">Calc!T102</f>
        <v>71564751169433.766</v>
      </c>
      <c r="H95" s="231" t="e">
        <f ca="1">Calc!V102</f>
        <v>#NAME?</v>
      </c>
      <c r="I95" s="231">
        <f ca="1">Calc!W102</f>
        <v>3.9365429604150967E-3</v>
      </c>
      <c r="J95" s="231"/>
    </row>
    <row r="96" spans="1:10" x14ac:dyDescent="0.2">
      <c r="A96" s="232">
        <f>Calc!A103</f>
        <v>9.4499200000000005E-3</v>
      </c>
      <c r="B96" s="232">
        <f>Calc!B103</f>
        <v>3.4112299999999998E-2</v>
      </c>
      <c r="C96" s="231">
        <f>Calc!C103</f>
        <v>5.1175499999999998E-6</v>
      </c>
      <c r="D96" s="231">
        <f>Calc!G103</f>
        <v>69531682260262.195</v>
      </c>
      <c r="E96" s="231">
        <f>Calc!L103</f>
        <v>4.0316818748374079E-3</v>
      </c>
      <c r="F96" s="231">
        <f>Calc!O103</f>
        <v>248.02741750760296</v>
      </c>
      <c r="G96" s="231">
        <f ca="1">Calc!T103</f>
        <v>69531682260262.195</v>
      </c>
      <c r="H96" s="231" t="e">
        <f ca="1">Calc!V103</f>
        <v>#NAME?</v>
      </c>
      <c r="I96" s="231">
        <f ca="1">Calc!W103</f>
        <v>3.7868156834178716E-3</v>
      </c>
      <c r="J96" s="231"/>
    </row>
    <row r="97" spans="1:10" x14ac:dyDescent="0.2">
      <c r="A97" s="232">
        <f>Calc!A104</f>
        <v>9.5499199999999999E-3</v>
      </c>
      <c r="B97" s="232">
        <f>Calc!B104</f>
        <v>3.3402800000000003E-2</v>
      </c>
      <c r="C97" s="231">
        <f>Calc!C104</f>
        <v>7.5589599999999997E-6</v>
      </c>
      <c r="D97" s="231">
        <f>Calc!G104</f>
        <v>68081582881623.953</v>
      </c>
      <c r="E97" s="231">
        <f>Calc!L104</f>
        <v>4.0965160708316848E-3</v>
      </c>
      <c r="F97" s="231">
        <f>Calc!O104</f>
        <v>244.10217438730885</v>
      </c>
      <c r="G97" s="231">
        <f ca="1">Calc!T104</f>
        <v>68081582881623.953</v>
      </c>
      <c r="H97" s="231" t="e">
        <f ca="1">Calc!V104</f>
        <v>#NAME?</v>
      </c>
      <c r="I97" s="231">
        <f ca="1">Calc!W104</f>
        <v>3.6491580017498667E-3</v>
      </c>
      <c r="J97" s="231"/>
    </row>
    <row r="98" spans="1:10" x14ac:dyDescent="0.2">
      <c r="A98" s="232">
        <f>Calc!A105</f>
        <v>9.6499199999999993E-3</v>
      </c>
      <c r="B98" s="232">
        <f>Calc!B105</f>
        <v>3.2632799999999997E-2</v>
      </c>
      <c r="C98" s="231">
        <f>Calc!C105</f>
        <v>3.9652099999999996E-6</v>
      </c>
      <c r="D98" s="231">
        <f>Calc!G105</f>
        <v>66508015231014.773</v>
      </c>
      <c r="E98" s="231">
        <f>Calc!L105</f>
        <v>4.1318499627863523E-3</v>
      </c>
      <c r="F98" s="231">
        <f>Calc!O105</f>
        <v>242.01499813693161</v>
      </c>
      <c r="G98" s="231">
        <f ca="1">Calc!T105</f>
        <v>66508015231014.773</v>
      </c>
      <c r="H98" s="231" t="e">
        <f ca="1">Calc!V105</f>
        <v>#NAME?</v>
      </c>
      <c r="I98" s="231">
        <f ca="1">Calc!W105</f>
        <v>3.5343302769419698E-3</v>
      </c>
      <c r="J98" s="231"/>
    </row>
    <row r="99" spans="1:10" x14ac:dyDescent="0.2">
      <c r="A99" s="232">
        <f>Calc!A106</f>
        <v>9.7499200000000005E-3</v>
      </c>
      <c r="B99" s="232">
        <f>Calc!B106</f>
        <v>3.1780700000000002E-2</v>
      </c>
      <c r="C99" s="231">
        <f>Calc!C106</f>
        <v>1.4219100000000001E-5</v>
      </c>
      <c r="D99" s="231">
        <f>Calc!G106</f>
        <v>64766891556477.25</v>
      </c>
      <c r="E99" s="231">
        <f>Calc!L106</f>
        <v>4.1723627904765494E-3</v>
      </c>
      <c r="F99" s="231">
        <f>Calc!O106</f>
        <v>239.665387901918</v>
      </c>
      <c r="G99" s="231">
        <f ca="1">Calc!T106</f>
        <v>64766891556477.25</v>
      </c>
      <c r="H99" s="231" t="e">
        <f ca="1">Calc!V106</f>
        <v>#NAME?</v>
      </c>
      <c r="I99" s="231">
        <f ca="1">Calc!W106</f>
        <v>3.4083852455938819E-3</v>
      </c>
      <c r="J99" s="231"/>
    </row>
    <row r="100" spans="1:10" x14ac:dyDescent="0.2">
      <c r="A100" s="232">
        <f>Calc!A107</f>
        <v>9.8499199999999999E-3</v>
      </c>
      <c r="B100" s="232">
        <f>Calc!B107</f>
        <v>3.09848E-2</v>
      </c>
      <c r="C100" s="231">
        <f>Calc!C107</f>
        <v>1.47465E-5</v>
      </c>
      <c r="D100" s="231">
        <f>Calc!G107</f>
        <v>63140815157364.703</v>
      </c>
      <c r="E100" s="231">
        <f>Calc!L107</f>
        <v>3.951450814987126E-3</v>
      </c>
      <c r="F100" s="231">
        <f>Calc!O107</f>
        <v>253.06498701787851</v>
      </c>
      <c r="G100" s="231">
        <f ca="1">Calc!T107</f>
        <v>63140815157364.703</v>
      </c>
      <c r="H100" s="231" t="e">
        <f ca="1">Calc!V107</f>
        <v>#NAME?</v>
      </c>
      <c r="I100" s="231">
        <f ca="1">Calc!W107</f>
        <v>3.5085792477929745E-3</v>
      </c>
      <c r="J100" s="231"/>
    </row>
    <row r="101" spans="1:10" x14ac:dyDescent="0.2">
      <c r="A101" s="232">
        <f>Calc!A108</f>
        <v>9.9499199999999993E-3</v>
      </c>
      <c r="B101" s="232">
        <f>Calc!B108</f>
        <v>3.0428199999999999E-2</v>
      </c>
      <c r="C101" s="231">
        <f>Calc!C108</f>
        <v>1.7949599999999998E-5</v>
      </c>
      <c r="D101" s="231">
        <f>Calc!G108</f>
        <v>62003766329231.469</v>
      </c>
      <c r="E101" s="231">
        <f>Calc!L108</f>
        <v>3.8814618509660256E-3</v>
      </c>
      <c r="F101" s="231">
        <f>Calc!O108</f>
        <v>257.62850895431484</v>
      </c>
      <c r="G101" s="231">
        <f ca="1">Calc!T108</f>
        <v>62003766329231.469</v>
      </c>
      <c r="H101" s="231" t="e">
        <f ca="1">Calc!V108</f>
        <v>#NAME?</v>
      </c>
      <c r="I101" s="231">
        <f ca="1">Calc!W108</f>
        <v>3.5075222549325112E-3</v>
      </c>
      <c r="J101" s="231"/>
    </row>
    <row r="102" spans="1:10" x14ac:dyDescent="0.2">
      <c r="A102" s="232">
        <f>Calc!A109</f>
        <v>1.00499E-2</v>
      </c>
      <c r="B102" s="232">
        <f>Calc!B109</f>
        <v>2.9398400000000002E-2</v>
      </c>
      <c r="C102" s="231">
        <f>Calc!C109</f>
        <v>1.7558999999999999E-5</v>
      </c>
      <c r="D102" s="231">
        <f>Calc!G109</f>
        <v>59900306901934.414</v>
      </c>
      <c r="E102" s="231">
        <f>Calc!L109</f>
        <v>3.7539617299657251E-3</v>
      </c>
      <c r="F102" s="231">
        <f>Calc!O109</f>
        <v>266.37928480462097</v>
      </c>
      <c r="G102" s="231">
        <f ca="1">Calc!T109</f>
        <v>59900306901934.414</v>
      </c>
      <c r="H102" s="231" t="e">
        <f ca="1">Calc!V109</f>
        <v>#NAME?</v>
      </c>
      <c r="I102" s="231">
        <f ca="1">Calc!W109</f>
        <v>3.5036191633540585E-3</v>
      </c>
      <c r="J102" s="231"/>
    </row>
    <row r="103" spans="1:10" x14ac:dyDescent="0.2">
      <c r="A103" s="232">
        <f>Calc!A110</f>
        <v>1.01499E-2</v>
      </c>
      <c r="B103" s="232">
        <f>Calc!B110</f>
        <v>2.8663999999999999E-2</v>
      </c>
      <c r="C103" s="231">
        <f>Calc!C110</f>
        <v>8.0081799999999993E-6</v>
      </c>
      <c r="D103" s="231">
        <f>Calc!G110</f>
        <v>58400438908927.195</v>
      </c>
      <c r="E103" s="231">
        <f>Calc!L110</f>
        <v>3.5740361635658796E-3</v>
      </c>
      <c r="F103" s="231">
        <f>Calc!O110</f>
        <v>279.79005231626485</v>
      </c>
      <c r="G103" s="231">
        <f ca="1">Calc!T110</f>
        <v>58400438908927.195</v>
      </c>
      <c r="H103" s="231" t="e">
        <f ca="1">Calc!V110</f>
        <v>#NAME?</v>
      </c>
      <c r="I103" s="231">
        <f ca="1">Calc!W110</f>
        <v>3.5878547673306922E-3</v>
      </c>
      <c r="J103" s="231"/>
    </row>
    <row r="104" spans="1:10" x14ac:dyDescent="0.2">
      <c r="A104" s="232">
        <f>Calc!A111</f>
        <v>1.0249899999999999E-2</v>
      </c>
      <c r="B104" s="232">
        <f>Calc!B111</f>
        <v>2.79609E-2</v>
      </c>
      <c r="C104" s="231">
        <f>Calc!C111</f>
        <v>1.08597E-5</v>
      </c>
      <c r="D104" s="231">
        <f>Calc!G111</f>
        <v>56964659320106.031</v>
      </c>
      <c r="E104" s="231">
        <f>Calc!L111</f>
        <v>3.6809346502428559E-3</v>
      </c>
      <c r="F104" s="231">
        <f>Calc!O111</f>
        <v>271.66474471692129</v>
      </c>
      <c r="G104" s="231">
        <f ca="1">Calc!T111</f>
        <v>56964659320106.031</v>
      </c>
      <c r="H104" s="231" t="e">
        <f ca="1">Calc!V111</f>
        <v>#NAME?</v>
      </c>
      <c r="I104" s="231">
        <f ca="1">Calc!W111</f>
        <v>3.3980133720626759E-3</v>
      </c>
      <c r="J104" s="231"/>
    </row>
    <row r="105" spans="1:10" x14ac:dyDescent="0.2">
      <c r="A105" s="232">
        <f>Calc!A112</f>
        <v>1.03499E-2</v>
      </c>
      <c r="B105" s="232">
        <f>Calc!B112</f>
        <v>2.71465E-2</v>
      </c>
      <c r="C105" s="231">
        <f>Calc!C112</f>
        <v>-3.4761999999999999E-6</v>
      </c>
      <c r="D105" s="231">
        <f>Calc!G112</f>
        <v>55301798495264.992</v>
      </c>
      <c r="E105" s="231">
        <f>Calc!L112</f>
        <v>3.936175877737042E-3</v>
      </c>
      <c r="F105" s="231">
        <f>Calc!O112</f>
        <v>254.04861165813028</v>
      </c>
      <c r="G105" s="231">
        <f ca="1">Calc!T112</f>
        <v>55301798495264.992</v>
      </c>
      <c r="H105" s="231" t="e">
        <f ca="1">Calc!V112</f>
        <v>#NAME?</v>
      </c>
      <c r="I105" s="231">
        <f ca="1">Calc!W112</f>
        <v>3.0849096307480448E-3</v>
      </c>
      <c r="J105" s="231"/>
    </row>
    <row r="106" spans="1:10" x14ac:dyDescent="0.2">
      <c r="A106" s="232">
        <f>Calc!A113</f>
        <v>1.04499E-2</v>
      </c>
      <c r="B106" s="232">
        <f>Calc!B113</f>
        <v>2.6367700000000001E-2</v>
      </c>
      <c r="C106" s="231">
        <f>Calc!C113</f>
        <v>-1.1347300000000001E-5</v>
      </c>
      <c r="D106" s="231">
        <f>Calc!G113</f>
        <v>53711828868263.25</v>
      </c>
      <c r="E106" s="231">
        <f>Calc!L113</f>
        <v>4.1090278770512653E-3</v>
      </c>
      <c r="F106" s="231">
        <f>Calc!O113</f>
        <v>243.36177598318471</v>
      </c>
      <c r="G106" s="231">
        <f ca="1">Calc!T113</f>
        <v>53711828868263.25</v>
      </c>
      <c r="H106" s="231" t="e">
        <f ca="1">Calc!V113</f>
        <v>#NAME?</v>
      </c>
      <c r="I106" s="231">
        <f ca="1">Calc!W113</f>
        <v>2.8701760683342496E-3</v>
      </c>
      <c r="J106" s="231"/>
    </row>
    <row r="107" spans="1:10" x14ac:dyDescent="0.2">
      <c r="A107" s="232">
        <f>Calc!A114</f>
        <v>1.0549899999999999E-2</v>
      </c>
      <c r="B107" s="232">
        <f>Calc!B114</f>
        <v>2.6020000000000001E-2</v>
      </c>
      <c r="C107" s="231">
        <f>Calc!C114</f>
        <v>-1.6152000000000001E-5</v>
      </c>
      <c r="D107" s="231">
        <f>Calc!G114</f>
        <v>53002041192920.461</v>
      </c>
      <c r="E107" s="231">
        <f>Calc!L114</f>
        <v>4.1739423282059138E-3</v>
      </c>
      <c r="F107" s="231">
        <f>Calc!O114</f>
        <v>239.57698909750033</v>
      </c>
      <c r="G107" s="231">
        <f ca="1">Calc!T114</f>
        <v>53002041192920.461</v>
      </c>
      <c r="H107" s="231" t="e">
        <f ca="1">Calc!V114</f>
        <v>#NAME?</v>
      </c>
      <c r="I107" s="231">
        <f ca="1">Calc!W114</f>
        <v>2.7881994528855918E-3</v>
      </c>
      <c r="J107" s="231"/>
    </row>
    <row r="108" spans="1:10" x14ac:dyDescent="0.2">
      <c r="A108" s="232">
        <f>Calc!A115</f>
        <v>1.06499E-2</v>
      </c>
      <c r="B108" s="232">
        <f>Calc!B115</f>
        <v>2.53227E-2</v>
      </c>
      <c r="C108" s="231">
        <f>Calc!C115</f>
        <v>-1.82223E-5</v>
      </c>
      <c r="D108" s="231">
        <f>Calc!G115</f>
        <v>51578706325034.008</v>
      </c>
      <c r="E108" s="231">
        <f>Calc!L115</f>
        <v>3.9491708501596147E-3</v>
      </c>
      <c r="F108" s="231">
        <f>Calc!O115</f>
        <v>253.21329403143929</v>
      </c>
      <c r="G108" s="231">
        <f ca="1">Calc!T115</f>
        <v>51578706325034.008</v>
      </c>
      <c r="H108" s="231" t="e">
        <f ca="1">Calc!V115</f>
        <v>#NAME?</v>
      </c>
      <c r="I108" s="231">
        <f ca="1">Calc!W115</f>
        <v>2.8677560778166663E-3</v>
      </c>
      <c r="J108" s="231"/>
    </row>
    <row r="109" spans="1:10" x14ac:dyDescent="0.2">
      <c r="A109" s="232">
        <f>Calc!A116</f>
        <v>1.07499E-2</v>
      </c>
      <c r="B109" s="232">
        <f>Calc!B116</f>
        <v>2.45586E-2</v>
      </c>
      <c r="C109" s="231">
        <f>Calc!C116</f>
        <v>-1.54489E-5</v>
      </c>
      <c r="D109" s="231">
        <f>Calc!G116</f>
        <v>50019201462181.344</v>
      </c>
      <c r="E109" s="231">
        <f>Calc!L116</f>
        <v>3.5002602626989766E-3</v>
      </c>
      <c r="F109" s="231">
        <f>Calc!O116</f>
        <v>285.68888817136724</v>
      </c>
      <c r="G109" s="231">
        <f ca="1">Calc!T116</f>
        <v>50019201462181.344</v>
      </c>
      <c r="H109" s="231" t="e">
        <f ca="1">Calc!V116</f>
        <v>#NAME?</v>
      </c>
      <c r="I109" s="231">
        <f ca="1">Calc!W116</f>
        <v>3.1377194000746407E-3</v>
      </c>
      <c r="J109" s="231"/>
    </row>
    <row r="110" spans="1:10" x14ac:dyDescent="0.2">
      <c r="A110" s="232">
        <f>Calc!A117</f>
        <v>1.0849900000000001E-2</v>
      </c>
      <c r="B110" s="232">
        <f>Calc!B117</f>
        <v>2.3898900000000001E-2</v>
      </c>
      <c r="C110" s="231">
        <f>Calc!C117</f>
        <v>-3.1562100000000001E-5</v>
      </c>
      <c r="D110" s="231">
        <f>Calc!G117</f>
        <v>48672927777406.078</v>
      </c>
      <c r="E110" s="231">
        <f>Calc!L117</f>
        <v>3.6461932429340768E-3</v>
      </c>
      <c r="F110" s="231">
        <f>Calc!O117</f>
        <v>274.25470737483738</v>
      </c>
      <c r="G110" s="231">
        <f ca="1">Calc!T117</f>
        <v>48672927777406.078</v>
      </c>
      <c r="H110" s="231" t="e">
        <f ca="1">Calc!V117</f>
        <v>#NAME?</v>
      </c>
      <c r="I110" s="231">
        <f ca="1">Calc!W117</f>
        <v>2.9310651734607259E-3</v>
      </c>
      <c r="J110" s="231"/>
    </row>
    <row r="111" spans="1:10" x14ac:dyDescent="0.2">
      <c r="A111" s="232">
        <f>Calc!A118</f>
        <v>1.09499E-2</v>
      </c>
      <c r="B111" s="232">
        <f>Calc!B118</f>
        <v>2.3230899999999999E-2</v>
      </c>
      <c r="C111" s="231">
        <f>Calc!C118</f>
        <v>-5.0582299999999997E-6</v>
      </c>
      <c r="D111" s="231">
        <f>Calc!G118</f>
        <v>47309861570684.289</v>
      </c>
      <c r="E111" s="231">
        <f>Calc!L118</f>
        <v>3.9008056868947813E-3</v>
      </c>
      <c r="F111" s="231">
        <f>Calc!O118</f>
        <v>256.35358103336608</v>
      </c>
      <c r="G111" s="231">
        <f ca="1">Calc!T118</f>
        <v>47309861570684.289</v>
      </c>
      <c r="H111" s="231" t="e">
        <f ca="1">Calc!V118</f>
        <v>#NAME?</v>
      </c>
      <c r="I111" s="231">
        <f ca="1">Calc!W118</f>
        <v>2.663023792660783E-3</v>
      </c>
      <c r="J111" s="231"/>
    </row>
    <row r="112" spans="1:10" x14ac:dyDescent="0.2">
      <c r="A112" s="232">
        <f>Calc!A119</f>
        <v>1.10499E-2</v>
      </c>
      <c r="B112" s="232">
        <f>Calc!B119</f>
        <v>2.2715800000000001E-2</v>
      </c>
      <c r="C112" s="231">
        <f>Calc!C119</f>
        <v>-7.5191599999999997E-6</v>
      </c>
      <c r="D112" s="231">
        <f>Calc!G119</f>
        <v>46258890782152.875</v>
      </c>
      <c r="E112" s="231">
        <f>Calc!L119</f>
        <v>4.0890009364405204E-3</v>
      </c>
      <c r="F112" s="231">
        <f>Calc!O119</f>
        <v>244.55496356142004</v>
      </c>
      <c r="G112" s="231">
        <f ca="1">Calc!T119</f>
        <v>46258890782152.875</v>
      </c>
      <c r="H112" s="231" t="e">
        <f ca="1">Calc!V119</f>
        <v>#NAME?</v>
      </c>
      <c r="I112" s="231">
        <f ca="1">Calc!W119</f>
        <v>2.4840234491141835E-3</v>
      </c>
      <c r="J112" s="231"/>
    </row>
    <row r="113" spans="1:10" x14ac:dyDescent="0.2">
      <c r="A113" s="232">
        <f>Calc!A120</f>
        <v>1.1149900000000001E-2</v>
      </c>
      <c r="B113" s="232">
        <f>Calc!B120</f>
        <v>2.2178199999999999E-2</v>
      </c>
      <c r="C113" s="231">
        <f>Calc!C120</f>
        <v>3.0081800000000001E-6</v>
      </c>
      <c r="D113" s="231">
        <f>Calc!G120</f>
        <v>45162105855172.148</v>
      </c>
      <c r="E113" s="231">
        <f>Calc!L120</f>
        <v>4.0607784407073336E-3</v>
      </c>
      <c r="F113" s="231">
        <f>Calc!O120</f>
        <v>246.2548168462792</v>
      </c>
      <c r="G113" s="231">
        <f ca="1">Calc!T120</f>
        <v>45162105855172.148</v>
      </c>
      <c r="H113" s="231" t="e">
        <f ca="1">Calc!V120</f>
        <v>#NAME?</v>
      </c>
      <c r="I113" s="231">
        <f ca="1">Calc!W120</f>
        <v>2.4419826617714069E-3</v>
      </c>
      <c r="J113" s="231"/>
    </row>
    <row r="114" spans="1:10" x14ac:dyDescent="0.2">
      <c r="A114" s="232">
        <f>Calc!A121</f>
        <v>1.12499E-2</v>
      </c>
      <c r="B114" s="232">
        <f>Calc!B121</f>
        <v>2.16528E-2</v>
      </c>
      <c r="C114" s="231">
        <f>Calc!C121</f>
        <v>3.4378700000000002E-6</v>
      </c>
      <c r="D114" s="231">
        <f>Calc!G121</f>
        <v>44090302799726.109</v>
      </c>
      <c r="E114" s="231">
        <f>Calc!L121</f>
        <v>3.8154096351632103E-3</v>
      </c>
      <c r="F114" s="231">
        <f>Calc!O121</f>
        <v>262.09182851318837</v>
      </c>
      <c r="G114" s="231">
        <f ca="1">Calc!T121</f>
        <v>44090302799726.109</v>
      </c>
      <c r="H114" s="231" t="e">
        <f ca="1">Calc!V121</f>
        <v>#NAME?</v>
      </c>
      <c r="I114" s="231">
        <f ca="1">Calc!W121</f>
        <v>2.5373454323006422E-3</v>
      </c>
      <c r="J114" s="231"/>
    </row>
    <row r="115" spans="1:10" x14ac:dyDescent="0.2">
      <c r="A115" s="232">
        <f>Calc!A122</f>
        <v>1.13499E-2</v>
      </c>
      <c r="B115" s="232">
        <f>Calc!B122</f>
        <v>2.1036599999999999E-2</v>
      </c>
      <c r="C115" s="231">
        <f>Calc!C122</f>
        <v>-3.4176000000000001E-6</v>
      </c>
      <c r="D115" s="231">
        <f>Calc!G122</f>
        <v>42833386054942.562</v>
      </c>
      <c r="E115" s="231">
        <f>Calc!L122</f>
        <v>3.6346636757692411E-3</v>
      </c>
      <c r="F115" s="231">
        <f>Calc!O122</f>
        <v>275.12557404796775</v>
      </c>
      <c r="G115" s="231">
        <f ca="1">Calc!T122</f>
        <v>42833386054942.562</v>
      </c>
      <c r="H115" s="231" t="e">
        <f ca="1">Calc!V122</f>
        <v>#NAME?</v>
      </c>
      <c r="I115" s="231">
        <f ca="1">Calc!W122</f>
        <v>2.5875923778797896E-3</v>
      </c>
      <c r="J115" s="231"/>
    </row>
    <row r="116" spans="1:10" x14ac:dyDescent="0.2">
      <c r="A116" s="232">
        <f>Calc!A123</f>
        <v>1.1449900000000001E-2</v>
      </c>
      <c r="B116" s="232">
        <f>Calc!B123</f>
        <v>2.0454099999999999E-2</v>
      </c>
      <c r="C116" s="231">
        <f>Calc!C123</f>
        <v>7.5980199999999996E-6</v>
      </c>
      <c r="D116" s="231">
        <f>Calc!G123</f>
        <v>41645325503096.164</v>
      </c>
      <c r="E116" s="231">
        <f>Calc!L123</f>
        <v>3.4899569449977309E-3</v>
      </c>
      <c r="F116" s="231">
        <f>Calc!O123</f>
        <v>286.53360720443322</v>
      </c>
      <c r="G116" s="231">
        <f ca="1">Calc!T123</f>
        <v>41645325503096.164</v>
      </c>
      <c r="H116" s="231" t="e">
        <f ca="1">Calc!V123</f>
        <v>#NAME?</v>
      </c>
      <c r="I116" s="231">
        <f ca="1">Calc!W123</f>
        <v>2.6201362648576852E-3</v>
      </c>
      <c r="J116" s="231"/>
    </row>
    <row r="117" spans="1:10" x14ac:dyDescent="0.2">
      <c r="A117" s="232">
        <f>Calc!A124</f>
        <v>1.15499E-2</v>
      </c>
      <c r="B117" s="232">
        <f>Calc!B124</f>
        <v>1.9888699999999999E-2</v>
      </c>
      <c r="C117" s="231">
        <f>Calc!C124</f>
        <v>-3.90258E-7</v>
      </c>
      <c r="D117" s="231">
        <f>Calc!G124</f>
        <v>40492249313408.805</v>
      </c>
      <c r="E117" s="231">
        <f>Calc!L124</f>
        <v>3.4753197292792656E-3</v>
      </c>
      <c r="F117" s="231">
        <f>Calc!O124</f>
        <v>287.74058759082271</v>
      </c>
      <c r="G117" s="231">
        <f ca="1">Calc!T124</f>
        <v>40492249313408.805</v>
      </c>
      <c r="H117" s="231" t="e">
        <f ca="1">Calc!V124</f>
        <v>#NAME?</v>
      </c>
      <c r="I117" s="231">
        <f ca="1">Calc!W124</f>
        <v>2.5583197452410467E-3</v>
      </c>
      <c r="J117" s="231"/>
    </row>
    <row r="118" spans="1:10" x14ac:dyDescent="0.2">
      <c r="A118" s="232">
        <f>Calc!A125</f>
        <v>1.1649899999999999E-2</v>
      </c>
      <c r="B118" s="232">
        <f>Calc!B125</f>
        <v>1.93013E-2</v>
      </c>
      <c r="C118" s="231">
        <f>Calc!C125</f>
        <v>-6.15198E-6</v>
      </c>
      <c r="D118" s="231">
        <f>Calc!G125</f>
        <v>39294418552390.102</v>
      </c>
      <c r="E118" s="231">
        <f>Calc!L125</f>
        <v>3.4786324750057359E-3</v>
      </c>
      <c r="F118" s="231">
        <f>Calc!O125</f>
        <v>287.46672464378963</v>
      </c>
      <c r="G118" s="231">
        <f ca="1">Calc!T125</f>
        <v>39294418552390.102</v>
      </c>
      <c r="H118" s="231" t="e">
        <f ca="1">Calc!V125</f>
        <v>#NAME?</v>
      </c>
      <c r="I118" s="231">
        <f ca="1">Calc!W125</f>
        <v>2.4802759731788622E-3</v>
      </c>
      <c r="J118" s="231"/>
    </row>
    <row r="119" spans="1:10" x14ac:dyDescent="0.2">
      <c r="A119" s="232">
        <f>Calc!A126</f>
        <v>1.1749900000000001E-2</v>
      </c>
      <c r="B119" s="232">
        <f>Calc!B126</f>
        <v>1.87563E-2</v>
      </c>
      <c r="C119" s="231">
        <f>Calc!C126</f>
        <v>-1.99606E-5</v>
      </c>
      <c r="D119" s="231">
        <f>Calc!G126</f>
        <v>38183152619784.141</v>
      </c>
      <c r="E119" s="231">
        <f>Calc!L126</f>
        <v>3.3909775761835786E-3</v>
      </c>
      <c r="F119" s="231">
        <f>Calc!O126</f>
        <v>294.89778999777394</v>
      </c>
      <c r="G119" s="231">
        <f ca="1">Calc!T126</f>
        <v>38183152619784.141</v>
      </c>
      <c r="H119" s="231" t="e">
        <f ca="1">Calc!V126</f>
        <v>#NAME?</v>
      </c>
      <c r="I119" s="231">
        <f ca="1">Calc!W126</f>
        <v>2.4724331158640016E-3</v>
      </c>
      <c r="J119" s="231"/>
    </row>
    <row r="120" spans="1:10" x14ac:dyDescent="0.2">
      <c r="A120" s="232">
        <f>Calc!A127</f>
        <v>1.18499E-2</v>
      </c>
      <c r="B120" s="232">
        <f>Calc!B127</f>
        <v>1.8250499999999999E-2</v>
      </c>
      <c r="C120" s="231">
        <f>Calc!C127</f>
        <v>-3.5780900000000002E-5</v>
      </c>
      <c r="D120" s="231">
        <f>Calc!G127</f>
        <v>37151904592632.289</v>
      </c>
      <c r="E120" s="231">
        <f>Calc!L127</f>
        <v>3.311393261068149E-3</v>
      </c>
      <c r="F120" s="231">
        <f>Calc!O127</f>
        <v>301.98539828111069</v>
      </c>
      <c r="G120" s="231">
        <f ca="1">Calc!T127</f>
        <v>37151904592632.289</v>
      </c>
      <c r="H120" s="231" t="e">
        <f ca="1">Calc!V127</f>
        <v>#NAME?</v>
      </c>
      <c r="I120" s="231">
        <f ca="1">Calc!W127</f>
        <v>2.4634741450569654E-3</v>
      </c>
      <c r="J120" s="231"/>
    </row>
    <row r="121" spans="1:10" x14ac:dyDescent="0.2">
      <c r="A121" s="232">
        <f>Calc!A128</f>
        <v>1.1949899999999999E-2</v>
      </c>
      <c r="B121" s="232">
        <f>Calc!B128</f>
        <v>1.76528E-2</v>
      </c>
      <c r="C121" s="231">
        <f>Calc!C128</f>
        <v>-3.8808199999999999E-5</v>
      </c>
      <c r="D121" s="231">
        <f>Calc!G128</f>
        <v>35933396426451.336</v>
      </c>
      <c r="E121" s="231">
        <f>Calc!L128</f>
        <v>3.3988831241070229E-3</v>
      </c>
      <c r="F121" s="231">
        <f>Calc!O128</f>
        <v>294.21215096155095</v>
      </c>
      <c r="G121" s="231">
        <f ca="1">Calc!T128</f>
        <v>35933396426451.336</v>
      </c>
      <c r="H121" s="231" t="e">
        <f ca="1">Calc!V128</f>
        <v>#NAME?</v>
      </c>
      <c r="I121" s="231">
        <f ca="1">Calc!W128</f>
        <v>2.3213451803646284E-3</v>
      </c>
      <c r="J121" s="231"/>
    </row>
    <row r="122" spans="1:10" x14ac:dyDescent="0.2">
      <c r="A122" s="232">
        <f>Calc!A129</f>
        <v>1.2049900000000001E-2</v>
      </c>
      <c r="B122" s="232">
        <f>Calc!B129</f>
        <v>1.7101499999999999E-2</v>
      </c>
      <c r="C122" s="231">
        <f>Calc!C129</f>
        <v>-3.4941000000000003E-5</v>
      </c>
      <c r="D122" s="231">
        <f>Calc!G129</f>
        <v>34809587734469.852</v>
      </c>
      <c r="E122" s="231">
        <f>Calc!L129</f>
        <v>3.7709783312039652E-3</v>
      </c>
      <c r="F122" s="231">
        <f>Calc!O129</f>
        <v>265.18116178239677</v>
      </c>
      <c r="G122" s="231">
        <f ca="1">Calc!T129</f>
        <v>34809587734469.852</v>
      </c>
      <c r="H122" s="231" t="e">
        <f ca="1">Calc!V129</f>
        <v>#NAME?</v>
      </c>
      <c r="I122" s="231">
        <f ca="1">Calc!W129</f>
        <v>2.0268542938505054E-3</v>
      </c>
      <c r="J122" s="231"/>
    </row>
    <row r="123" spans="1:10" x14ac:dyDescent="0.2">
      <c r="A123" s="232">
        <f>Calc!A130</f>
        <v>1.21499E-2</v>
      </c>
      <c r="B123" s="232">
        <f>Calc!B130</f>
        <v>1.6737800000000001E-2</v>
      </c>
      <c r="C123" s="231">
        <f>Calc!C130</f>
        <v>-3.6015300000000001E-5</v>
      </c>
      <c r="D123" s="231">
        <f>Calc!G130</f>
        <v>34068251611930.18</v>
      </c>
      <c r="E123" s="231">
        <f>Calc!L130</f>
        <v>3.7879767168748578E-3</v>
      </c>
      <c r="F123" s="231">
        <f>Calc!O130</f>
        <v>263.99124824516576</v>
      </c>
      <c r="G123" s="231">
        <f ca="1">Calc!T130</f>
        <v>34068251611930.18</v>
      </c>
      <c r="H123" s="231" t="e">
        <f ca="1">Calc!V130</f>
        <v>#NAME?</v>
      </c>
      <c r="I123" s="231">
        <f ca="1">Calc!W130</f>
        <v>1.9747868726519902E-3</v>
      </c>
      <c r="J123" s="231"/>
    </row>
    <row r="124" spans="1:10" x14ac:dyDescent="0.2">
      <c r="A124" s="232">
        <f>Calc!A131</f>
        <v>1.2249899999999999E-2</v>
      </c>
      <c r="B124" s="232">
        <f>Calc!B131</f>
        <v>1.6443800000000001E-2</v>
      </c>
      <c r="C124" s="231">
        <f>Calc!C131</f>
        <v>-5.4296499999999998E-5</v>
      </c>
      <c r="D124" s="231">
        <f>Calc!G131</f>
        <v>33469018532997.34</v>
      </c>
      <c r="E124" s="231">
        <f>Calc!L131</f>
        <v>3.6552974473216646E-3</v>
      </c>
      <c r="F124" s="231">
        <f>Calc!O131</f>
        <v>273.57368789251916</v>
      </c>
      <c r="G124" s="231">
        <f ca="1">Calc!T131</f>
        <v>33469018532997.34</v>
      </c>
      <c r="H124" s="231" t="e">
        <f ca="1">Calc!V131</f>
        <v>#NAME?</v>
      </c>
      <c r="I124" s="231">
        <f ca="1">Calc!W131</f>
        <v>2.0104715892281348E-3</v>
      </c>
      <c r="J124" s="231"/>
    </row>
    <row r="125" spans="1:10" x14ac:dyDescent="0.2">
      <c r="A125" s="232">
        <f>Calc!A132</f>
        <v>1.23499E-2</v>
      </c>
      <c r="B125" s="232">
        <f>Calc!B132</f>
        <v>1.5775399999999998E-2</v>
      </c>
      <c r="C125" s="231">
        <f>Calc!C132</f>
        <v>-2.9550400000000001E-5</v>
      </c>
      <c r="D125" s="231">
        <f>Calc!G132</f>
        <v>32106788073732.871</v>
      </c>
      <c r="E125" s="231">
        <f>Calc!L132</f>
        <v>0</v>
      </c>
      <c r="F125" s="231">
        <f>Calc!O132</f>
        <v>0</v>
      </c>
      <c r="G125" s="231">
        <f ca="1">Calc!T132</f>
        <v>32106788073732.871</v>
      </c>
      <c r="H125" s="231" t="e">
        <f ca="1">Calc!V132</f>
        <v>#NAME?</v>
      </c>
      <c r="I125" s="231" t="str">
        <f>Calc!W132</f>
        <v/>
      </c>
      <c r="J125" s="231"/>
    </row>
    <row r="126" spans="1:10" x14ac:dyDescent="0.2">
      <c r="A126" s="232">
        <f>Calc!A133</f>
        <v>1.24499E-2</v>
      </c>
      <c r="B126" s="232">
        <f>Calc!B133</f>
        <v>1.53364E-2</v>
      </c>
      <c r="C126" s="231">
        <f>Calc!C133</f>
        <v>-2.45114E-5</v>
      </c>
      <c r="D126" s="231">
        <f>Calc!G133</f>
        <v>31212166970794.332</v>
      </c>
      <c r="E126" s="231">
        <f>Calc!L133</f>
        <v>0</v>
      </c>
      <c r="F126" s="231">
        <f>Calc!O133</f>
        <v>0</v>
      </c>
      <c r="G126" s="231">
        <f ca="1">Calc!T133</f>
        <v>31212166970794.332</v>
      </c>
      <c r="H126" s="231" t="e">
        <f ca="1">Calc!V133</f>
        <v>#NAME?</v>
      </c>
      <c r="I126" s="231" t="str">
        <f>Calc!W133</f>
        <v/>
      </c>
      <c r="J126" s="231"/>
    </row>
    <row r="127" spans="1:10" x14ac:dyDescent="0.2">
      <c r="A127" s="231"/>
      <c r="B127" s="231"/>
      <c r="C127" s="231"/>
      <c r="D127" s="231"/>
      <c r="E127" s="231"/>
      <c r="F127" s="231"/>
      <c r="G127" s="231"/>
      <c r="H127" s="231"/>
      <c r="I127" s="231"/>
      <c r="J127" s="231"/>
    </row>
    <row r="128" spans="1:10" x14ac:dyDescent="0.2">
      <c r="A128" s="231"/>
      <c r="B128" s="231"/>
      <c r="C128" s="231"/>
      <c r="D128" s="231"/>
      <c r="E128" s="231"/>
      <c r="F128" s="231"/>
      <c r="G128" s="231"/>
      <c r="H128" s="231"/>
      <c r="I128" s="231"/>
      <c r="J128" s="231"/>
    </row>
    <row r="129" spans="1:10" x14ac:dyDescent="0.2">
      <c r="A129" s="231"/>
      <c r="B129" s="231"/>
      <c r="C129" s="231"/>
      <c r="D129" s="231"/>
      <c r="E129" s="231"/>
      <c r="F129" s="231"/>
      <c r="G129" s="231"/>
      <c r="H129" s="231"/>
      <c r="I129" s="231"/>
      <c r="J129" s="231"/>
    </row>
    <row r="130" spans="1:10" x14ac:dyDescent="0.2">
      <c r="A130" s="231"/>
      <c r="B130" s="231"/>
      <c r="C130" s="231"/>
      <c r="D130" s="231"/>
      <c r="E130" s="231"/>
      <c r="F130" s="231"/>
      <c r="G130" s="231"/>
      <c r="H130" s="231"/>
      <c r="I130" s="231"/>
      <c r="J130" s="231"/>
    </row>
    <row r="131" spans="1:10" x14ac:dyDescent="0.2">
      <c r="A131" s="231"/>
      <c r="B131" s="231"/>
      <c r="C131" s="231"/>
      <c r="D131" s="231"/>
      <c r="E131" s="231"/>
      <c r="F131" s="231"/>
      <c r="G131" s="231"/>
      <c r="H131" s="231"/>
      <c r="I131" s="231"/>
      <c r="J131" s="231"/>
    </row>
    <row r="132" spans="1:10" x14ac:dyDescent="0.2">
      <c r="A132" s="231"/>
      <c r="B132" s="231"/>
      <c r="C132" s="231"/>
      <c r="D132" s="231"/>
      <c r="E132" s="231"/>
      <c r="F132" s="231"/>
      <c r="G132" s="231"/>
      <c r="H132" s="231"/>
      <c r="I132" s="231"/>
      <c r="J132" s="231"/>
    </row>
    <row r="133" spans="1:10" x14ac:dyDescent="0.2">
      <c r="A133" s="231"/>
      <c r="B133" s="231"/>
      <c r="C133" s="231"/>
      <c r="D133" s="231"/>
      <c r="E133" s="231"/>
      <c r="F133" s="231"/>
      <c r="G133" s="231"/>
      <c r="H133" s="231"/>
      <c r="I133" s="231"/>
      <c r="J133" s="231"/>
    </row>
    <row r="134" spans="1:10" x14ac:dyDescent="0.2">
      <c r="A134" s="231"/>
      <c r="B134" s="231"/>
      <c r="C134" s="231"/>
      <c r="D134" s="231"/>
      <c r="E134" s="231"/>
      <c r="F134" s="231"/>
      <c r="G134" s="231"/>
      <c r="H134" s="231"/>
      <c r="I134" s="231"/>
      <c r="J134" s="231"/>
    </row>
    <row r="135" spans="1:10" x14ac:dyDescent="0.2">
      <c r="A135" s="231"/>
      <c r="B135" s="231"/>
      <c r="C135" s="231"/>
      <c r="D135" s="231"/>
      <c r="E135" s="231"/>
      <c r="F135" s="231"/>
      <c r="G135" s="231"/>
      <c r="H135" s="231"/>
      <c r="I135" s="231"/>
      <c r="J135" s="231"/>
    </row>
    <row r="136" spans="1:10" x14ac:dyDescent="0.2">
      <c r="A136" s="231"/>
      <c r="B136" s="231"/>
      <c r="C136" s="231"/>
      <c r="D136" s="231"/>
      <c r="E136" s="231"/>
      <c r="F136" s="231"/>
      <c r="G136" s="231"/>
      <c r="H136" s="231"/>
      <c r="I136" s="231"/>
      <c r="J136" s="231"/>
    </row>
    <row r="137" spans="1:10" x14ac:dyDescent="0.2">
      <c r="A137" s="231"/>
      <c r="B137" s="231"/>
      <c r="C137" s="231"/>
      <c r="D137" s="231"/>
      <c r="E137" s="231"/>
      <c r="F137" s="231"/>
      <c r="G137" s="231"/>
      <c r="H137" s="231"/>
      <c r="I137" s="231"/>
      <c r="J137" s="231"/>
    </row>
    <row r="138" spans="1:10" x14ac:dyDescent="0.2">
      <c r="A138" s="231"/>
      <c r="B138" s="231"/>
      <c r="C138" s="231"/>
      <c r="D138" s="231"/>
      <c r="E138" s="231"/>
      <c r="F138" s="231"/>
      <c r="G138" s="231"/>
      <c r="H138" s="231"/>
      <c r="I138" s="231"/>
      <c r="J138" s="231"/>
    </row>
    <row r="139" spans="1:10" x14ac:dyDescent="0.2">
      <c r="A139" s="231"/>
      <c r="B139" s="231"/>
      <c r="C139" s="231"/>
      <c r="D139" s="231"/>
      <c r="E139" s="231"/>
      <c r="F139" s="231"/>
      <c r="G139" s="231"/>
      <c r="H139" s="231"/>
      <c r="I139" s="231"/>
      <c r="J139" s="231"/>
    </row>
    <row r="140" spans="1:10" x14ac:dyDescent="0.2">
      <c r="A140" s="231"/>
      <c r="B140" s="231"/>
      <c r="C140" s="231"/>
      <c r="D140" s="231"/>
      <c r="E140" s="231"/>
      <c r="F140" s="231"/>
      <c r="G140" s="231"/>
      <c r="H140" s="231"/>
      <c r="I140" s="231"/>
      <c r="J140" s="231"/>
    </row>
    <row r="141" spans="1:10" x14ac:dyDescent="0.2">
      <c r="A141" s="231"/>
      <c r="B141" s="231"/>
      <c r="C141" s="231"/>
      <c r="D141" s="231"/>
      <c r="E141" s="231"/>
      <c r="F141" s="231"/>
      <c r="G141" s="231"/>
      <c r="H141" s="231"/>
      <c r="I141" s="231"/>
      <c r="J141" s="231"/>
    </row>
    <row r="142" spans="1:10" x14ac:dyDescent="0.2">
      <c r="A142" s="231"/>
      <c r="B142" s="231"/>
      <c r="C142" s="231"/>
      <c r="D142" s="231"/>
      <c r="E142" s="231"/>
      <c r="F142" s="231"/>
      <c r="G142" s="231"/>
      <c r="H142" s="231"/>
      <c r="I142" s="231"/>
      <c r="J142" s="231"/>
    </row>
    <row r="143" spans="1:10" x14ac:dyDescent="0.2">
      <c r="A143" s="231"/>
      <c r="B143" s="231"/>
      <c r="C143" s="231"/>
      <c r="D143" s="231"/>
      <c r="E143" s="231"/>
      <c r="F143" s="231"/>
      <c r="G143" s="231"/>
      <c r="H143" s="231"/>
      <c r="I143" s="231"/>
      <c r="J143" s="231"/>
    </row>
    <row r="144" spans="1:10" x14ac:dyDescent="0.2">
      <c r="A144" s="231"/>
      <c r="B144" s="231"/>
      <c r="C144" s="231"/>
      <c r="D144" s="231"/>
      <c r="E144" s="231"/>
      <c r="F144" s="231"/>
      <c r="G144" s="231"/>
      <c r="H144" s="231"/>
      <c r="I144" s="231"/>
      <c r="J144" s="231"/>
    </row>
    <row r="145" spans="1:10" x14ac:dyDescent="0.2">
      <c r="A145" s="231"/>
      <c r="B145" s="231"/>
      <c r="C145" s="231"/>
      <c r="D145" s="231"/>
      <c r="E145" s="231"/>
      <c r="F145" s="231"/>
      <c r="G145" s="231"/>
      <c r="H145" s="231"/>
      <c r="I145" s="231"/>
      <c r="J145" s="231"/>
    </row>
    <row r="146" spans="1:10" x14ac:dyDescent="0.2">
      <c r="A146" s="231"/>
      <c r="B146" s="231"/>
      <c r="C146" s="231"/>
      <c r="D146" s="231"/>
      <c r="E146" s="231"/>
      <c r="F146" s="231"/>
      <c r="G146" s="231"/>
      <c r="H146" s="231"/>
      <c r="I146" s="231"/>
      <c r="J146" s="231"/>
    </row>
    <row r="147" spans="1:10" x14ac:dyDescent="0.2">
      <c r="A147" s="231"/>
      <c r="B147" s="231"/>
      <c r="C147" s="231"/>
      <c r="D147" s="231"/>
      <c r="E147" s="231"/>
      <c r="F147" s="231"/>
      <c r="G147" s="231"/>
      <c r="H147" s="231"/>
      <c r="I147" s="231"/>
      <c r="J147" s="231"/>
    </row>
    <row r="148" spans="1:10" x14ac:dyDescent="0.2">
      <c r="A148" s="231"/>
      <c r="B148" s="231"/>
      <c r="C148" s="231"/>
      <c r="D148" s="231"/>
      <c r="E148" s="231"/>
      <c r="F148" s="231"/>
      <c r="G148" s="231"/>
      <c r="H148" s="231"/>
      <c r="I148" s="231"/>
      <c r="J148" s="231"/>
    </row>
    <row r="149" spans="1:10" x14ac:dyDescent="0.2">
      <c r="A149" s="231"/>
      <c r="B149" s="231"/>
      <c r="C149" s="231"/>
      <c r="D149" s="231"/>
      <c r="E149" s="231"/>
      <c r="F149" s="231"/>
      <c r="G149" s="231"/>
      <c r="H149" s="231"/>
      <c r="I149" s="231"/>
      <c r="J149" s="231"/>
    </row>
    <row r="150" spans="1:10" x14ac:dyDescent="0.2">
      <c r="A150" s="231"/>
      <c r="B150" s="231"/>
      <c r="C150" s="231"/>
      <c r="D150" s="231"/>
      <c r="E150" s="231"/>
      <c r="F150" s="231"/>
      <c r="G150" s="231"/>
      <c r="H150" s="231"/>
      <c r="I150" s="231"/>
      <c r="J150" s="231"/>
    </row>
    <row r="151" spans="1:10" x14ac:dyDescent="0.2">
      <c r="A151" s="231"/>
      <c r="B151" s="231"/>
      <c r="C151" s="231"/>
      <c r="D151" s="231"/>
      <c r="E151" s="231"/>
      <c r="F151" s="231"/>
      <c r="G151" s="231"/>
      <c r="H151" s="231"/>
      <c r="I151" s="231"/>
      <c r="J151" s="231"/>
    </row>
    <row r="152" spans="1:10" x14ac:dyDescent="0.2">
      <c r="A152" s="231"/>
      <c r="B152" s="231"/>
      <c r="C152" s="231"/>
      <c r="D152" s="231"/>
      <c r="E152" s="231"/>
      <c r="F152" s="231"/>
      <c r="G152" s="231"/>
      <c r="H152" s="231"/>
      <c r="I152" s="231"/>
      <c r="J152" s="231"/>
    </row>
    <row r="153" spans="1:10" x14ac:dyDescent="0.2">
      <c r="A153" s="231"/>
      <c r="B153" s="231"/>
      <c r="C153" s="231"/>
      <c r="D153" s="231"/>
      <c r="E153" s="231"/>
      <c r="F153" s="231"/>
      <c r="G153" s="231"/>
      <c r="H153" s="231"/>
      <c r="I153" s="231"/>
      <c r="J153" s="231"/>
    </row>
    <row r="154" spans="1:10" x14ac:dyDescent="0.2">
      <c r="A154" s="231"/>
      <c r="B154" s="231"/>
      <c r="C154" s="231"/>
      <c r="D154" s="231"/>
      <c r="E154" s="231"/>
      <c r="F154" s="231"/>
      <c r="G154" s="231"/>
      <c r="H154" s="231"/>
      <c r="I154" s="231"/>
      <c r="J154" s="231"/>
    </row>
    <row r="155" spans="1:10" x14ac:dyDescent="0.2">
      <c r="A155" s="231"/>
      <c r="B155" s="231"/>
      <c r="C155" s="231"/>
      <c r="D155" s="231"/>
      <c r="E155" s="231"/>
      <c r="F155" s="231"/>
      <c r="G155" s="231"/>
      <c r="H155" s="231"/>
      <c r="I155" s="231"/>
      <c r="J155" s="231"/>
    </row>
    <row r="156" spans="1:10" x14ac:dyDescent="0.2">
      <c r="A156" s="231"/>
      <c r="B156" s="231"/>
      <c r="C156" s="231"/>
      <c r="D156" s="231"/>
      <c r="E156" s="231"/>
      <c r="F156" s="231"/>
      <c r="G156" s="231"/>
      <c r="H156" s="231"/>
      <c r="I156" s="231"/>
      <c r="J156" s="231"/>
    </row>
    <row r="157" spans="1:10" x14ac:dyDescent="0.2">
      <c r="A157" s="231"/>
      <c r="B157" s="231"/>
      <c r="C157" s="231"/>
      <c r="D157" s="231"/>
      <c r="E157" s="231"/>
      <c r="F157" s="231"/>
      <c r="G157" s="231"/>
      <c r="H157" s="231"/>
      <c r="I157" s="231"/>
      <c r="J157" s="231"/>
    </row>
    <row r="158" spans="1:10" x14ac:dyDescent="0.2">
      <c r="A158" s="231"/>
      <c r="B158" s="231"/>
      <c r="C158" s="231"/>
      <c r="D158" s="231"/>
      <c r="E158" s="231"/>
      <c r="F158" s="231"/>
      <c r="G158" s="231"/>
      <c r="H158" s="231"/>
      <c r="I158" s="231"/>
      <c r="J158" s="231"/>
    </row>
    <row r="159" spans="1:10" x14ac:dyDescent="0.2">
      <c r="A159" s="231"/>
      <c r="B159" s="231"/>
      <c r="C159" s="231"/>
      <c r="D159" s="231"/>
      <c r="E159" s="231"/>
      <c r="F159" s="231"/>
      <c r="G159" s="231"/>
      <c r="H159" s="231"/>
      <c r="I159" s="231"/>
      <c r="J159" s="231"/>
    </row>
    <row r="160" spans="1:10" x14ac:dyDescent="0.2">
      <c r="A160" s="231"/>
      <c r="B160" s="231"/>
      <c r="C160" s="231"/>
      <c r="D160" s="231"/>
      <c r="E160" s="231"/>
      <c r="F160" s="231"/>
      <c r="G160" s="231"/>
      <c r="H160" s="231"/>
      <c r="I160" s="231"/>
      <c r="J160" s="231"/>
    </row>
    <row r="161" spans="1:10" x14ac:dyDescent="0.2">
      <c r="A161" s="231"/>
      <c r="B161" s="231"/>
      <c r="C161" s="231"/>
      <c r="D161" s="231"/>
      <c r="E161" s="231"/>
      <c r="F161" s="231"/>
      <c r="G161" s="231"/>
      <c r="H161" s="231"/>
      <c r="I161" s="231"/>
      <c r="J161" s="231"/>
    </row>
    <row r="162" spans="1:10" x14ac:dyDescent="0.2">
      <c r="A162" s="231"/>
      <c r="B162" s="231"/>
      <c r="C162" s="231"/>
      <c r="D162" s="231"/>
      <c r="E162" s="231"/>
      <c r="F162" s="231"/>
      <c r="G162" s="231"/>
      <c r="H162" s="231"/>
      <c r="I162" s="231"/>
      <c r="J162" s="231"/>
    </row>
    <row r="163" spans="1:10" x14ac:dyDescent="0.2">
      <c r="A163" s="231"/>
      <c r="B163" s="231"/>
      <c r="C163" s="231"/>
      <c r="D163" s="231"/>
      <c r="E163" s="231"/>
      <c r="F163" s="231"/>
      <c r="G163" s="231"/>
      <c r="H163" s="231"/>
      <c r="I163" s="231"/>
      <c r="J163" s="231"/>
    </row>
    <row r="164" spans="1:10" x14ac:dyDescent="0.2">
      <c r="A164" s="231"/>
      <c r="B164" s="231"/>
      <c r="C164" s="231"/>
      <c r="D164" s="231"/>
      <c r="E164" s="231"/>
      <c r="F164" s="231"/>
      <c r="G164" s="231"/>
      <c r="H164" s="231"/>
      <c r="I164" s="231"/>
      <c r="J164" s="231"/>
    </row>
    <row r="165" spans="1:10" x14ac:dyDescent="0.2">
      <c r="A165" s="231"/>
      <c r="B165" s="231"/>
      <c r="C165" s="231"/>
      <c r="D165" s="231"/>
      <c r="E165" s="231"/>
      <c r="F165" s="231"/>
      <c r="G165" s="231"/>
      <c r="H165" s="231"/>
      <c r="I165" s="231"/>
      <c r="J165" s="231"/>
    </row>
    <row r="166" spans="1:10" x14ac:dyDescent="0.2">
      <c r="A166" s="231"/>
      <c r="B166" s="231"/>
      <c r="C166" s="231"/>
      <c r="D166" s="231"/>
      <c r="E166" s="231"/>
      <c r="F166" s="231"/>
      <c r="G166" s="231"/>
      <c r="H166" s="231"/>
      <c r="I166" s="231"/>
      <c r="J166" s="231"/>
    </row>
    <row r="167" spans="1:10" x14ac:dyDescent="0.2">
      <c r="A167" s="231"/>
      <c r="B167" s="231"/>
      <c r="C167" s="231"/>
      <c r="D167" s="231"/>
      <c r="E167" s="231"/>
      <c r="F167" s="231"/>
      <c r="G167" s="231"/>
      <c r="H167" s="231"/>
      <c r="I167" s="231"/>
      <c r="J167" s="231"/>
    </row>
    <row r="168" spans="1:10" x14ac:dyDescent="0.2">
      <c r="A168" s="231"/>
      <c r="B168" s="231"/>
      <c r="C168" s="231"/>
      <c r="D168" s="231"/>
      <c r="E168" s="231"/>
      <c r="F168" s="231"/>
      <c r="G168" s="231"/>
      <c r="H168" s="231"/>
      <c r="I168" s="231"/>
      <c r="J168" s="231"/>
    </row>
    <row r="169" spans="1:10" x14ac:dyDescent="0.2">
      <c r="A169" s="231"/>
      <c r="B169" s="231"/>
      <c r="C169" s="231"/>
      <c r="D169" s="231"/>
      <c r="E169" s="231"/>
      <c r="F169" s="231"/>
      <c r="G169" s="231"/>
      <c r="H169" s="231"/>
      <c r="I169" s="231"/>
      <c r="J169" s="231"/>
    </row>
    <row r="170" spans="1:10" x14ac:dyDescent="0.2">
      <c r="A170" s="231"/>
      <c r="B170" s="231"/>
      <c r="C170" s="231"/>
      <c r="D170" s="231"/>
      <c r="E170" s="231"/>
      <c r="F170" s="231"/>
      <c r="G170" s="231"/>
      <c r="H170" s="231"/>
      <c r="I170" s="231"/>
      <c r="J170" s="231"/>
    </row>
    <row r="171" spans="1:10" x14ac:dyDescent="0.2">
      <c r="A171" s="231"/>
      <c r="B171" s="231"/>
      <c r="C171" s="231"/>
      <c r="D171" s="231"/>
      <c r="E171" s="231"/>
      <c r="F171" s="231"/>
      <c r="G171" s="231"/>
      <c r="H171" s="231"/>
      <c r="I171" s="231"/>
      <c r="J171" s="231"/>
    </row>
    <row r="172" spans="1:10" x14ac:dyDescent="0.2">
      <c r="A172" s="231"/>
      <c r="B172" s="231"/>
      <c r="C172" s="231"/>
      <c r="D172" s="231"/>
      <c r="E172" s="231"/>
      <c r="F172" s="231"/>
      <c r="G172" s="231"/>
      <c r="H172" s="231"/>
      <c r="I172" s="231"/>
      <c r="J172" s="231"/>
    </row>
    <row r="173" spans="1:10" x14ac:dyDescent="0.2">
      <c r="A173" s="231"/>
      <c r="B173" s="231"/>
      <c r="C173" s="231"/>
      <c r="D173" s="231"/>
      <c r="E173" s="231"/>
      <c r="F173" s="231"/>
      <c r="G173" s="231"/>
      <c r="H173" s="231"/>
      <c r="I173" s="231"/>
      <c r="J173" s="231"/>
    </row>
    <row r="174" spans="1:10" x14ac:dyDescent="0.2">
      <c r="A174" s="231"/>
      <c r="B174" s="231"/>
      <c r="C174" s="231"/>
      <c r="D174" s="231"/>
      <c r="E174" s="231"/>
      <c r="F174" s="231"/>
      <c r="G174" s="231"/>
      <c r="H174" s="231"/>
      <c r="I174" s="231"/>
      <c r="J174" s="231"/>
    </row>
    <row r="175" spans="1:10" x14ac:dyDescent="0.2">
      <c r="A175" s="231"/>
      <c r="B175" s="231"/>
      <c r="C175" s="231"/>
      <c r="D175" s="231"/>
      <c r="E175" s="231"/>
      <c r="F175" s="231"/>
      <c r="G175" s="231"/>
      <c r="H175" s="231"/>
      <c r="I175" s="231"/>
      <c r="J175" s="231"/>
    </row>
    <row r="176" spans="1:10" x14ac:dyDescent="0.2">
      <c r="A176" s="231"/>
      <c r="B176" s="231"/>
      <c r="C176" s="231"/>
      <c r="D176" s="231"/>
      <c r="E176" s="231"/>
      <c r="F176" s="231"/>
      <c r="G176" s="231"/>
      <c r="H176" s="231"/>
      <c r="I176" s="231"/>
      <c r="J176" s="231"/>
    </row>
    <row r="177" spans="1:10" x14ac:dyDescent="0.2">
      <c r="A177" s="231"/>
      <c r="B177" s="231"/>
      <c r="C177" s="231"/>
      <c r="D177" s="231"/>
      <c r="E177" s="231"/>
      <c r="F177" s="231"/>
      <c r="G177" s="231"/>
      <c r="H177" s="231"/>
      <c r="I177" s="231"/>
      <c r="J177" s="231"/>
    </row>
    <row r="178" spans="1:10" x14ac:dyDescent="0.2">
      <c r="A178" s="231"/>
      <c r="B178" s="231"/>
      <c r="C178" s="231"/>
      <c r="D178" s="231"/>
      <c r="E178" s="231"/>
      <c r="F178" s="231"/>
      <c r="G178" s="231"/>
      <c r="H178" s="231"/>
      <c r="I178" s="231"/>
      <c r="J178" s="231"/>
    </row>
    <row r="179" spans="1:10" x14ac:dyDescent="0.2">
      <c r="A179" s="231"/>
      <c r="B179" s="231"/>
      <c r="C179" s="231"/>
      <c r="D179" s="231"/>
      <c r="E179" s="231"/>
      <c r="F179" s="231"/>
      <c r="G179" s="231"/>
      <c r="H179" s="231"/>
      <c r="I179" s="231"/>
      <c r="J179" s="231"/>
    </row>
    <row r="180" spans="1:10" x14ac:dyDescent="0.2">
      <c r="A180" s="231"/>
      <c r="B180" s="231"/>
      <c r="C180" s="231"/>
      <c r="D180" s="231"/>
      <c r="E180" s="231"/>
      <c r="F180" s="231"/>
      <c r="G180" s="231"/>
      <c r="H180" s="231"/>
      <c r="I180" s="231"/>
      <c r="J180" s="231"/>
    </row>
    <row r="181" spans="1:10" x14ac:dyDescent="0.2">
      <c r="A181" s="231"/>
      <c r="B181" s="231"/>
      <c r="C181" s="231"/>
      <c r="D181" s="231"/>
      <c r="E181" s="231"/>
      <c r="F181" s="231"/>
      <c r="G181" s="231"/>
      <c r="H181" s="231"/>
      <c r="I181" s="231"/>
      <c r="J181" s="231"/>
    </row>
    <row r="182" spans="1:10" x14ac:dyDescent="0.2">
      <c r="A182" s="231"/>
      <c r="B182" s="231"/>
      <c r="C182" s="231"/>
      <c r="D182" s="231"/>
      <c r="E182" s="231"/>
      <c r="F182" s="231"/>
      <c r="G182" s="231"/>
      <c r="H182" s="231"/>
      <c r="I182" s="231"/>
      <c r="J182" s="231"/>
    </row>
    <row r="183" spans="1:10" x14ac:dyDescent="0.2">
      <c r="A183" s="231"/>
      <c r="B183" s="231"/>
      <c r="C183" s="231"/>
      <c r="D183" s="231"/>
      <c r="E183" s="231"/>
      <c r="F183" s="231"/>
      <c r="G183" s="231"/>
      <c r="H183" s="231"/>
      <c r="I183" s="231"/>
      <c r="J183" s="231"/>
    </row>
    <row r="184" spans="1:10" x14ac:dyDescent="0.2">
      <c r="A184" s="231"/>
      <c r="B184" s="231"/>
      <c r="C184" s="231"/>
      <c r="D184" s="231"/>
      <c r="E184" s="231"/>
      <c r="F184" s="231"/>
      <c r="G184" s="231"/>
      <c r="H184" s="231"/>
      <c r="I184" s="231"/>
      <c r="J184" s="231"/>
    </row>
    <row r="185" spans="1:10" x14ac:dyDescent="0.2">
      <c r="A185" s="231"/>
      <c r="B185" s="231"/>
      <c r="C185" s="231"/>
      <c r="D185" s="231"/>
      <c r="E185" s="231"/>
      <c r="F185" s="231"/>
      <c r="G185" s="231"/>
      <c r="H185" s="231"/>
      <c r="I185" s="231"/>
      <c r="J185" s="231"/>
    </row>
    <row r="186" spans="1:10" x14ac:dyDescent="0.2">
      <c r="A186" s="231"/>
      <c r="B186" s="231"/>
      <c r="C186" s="231"/>
      <c r="D186" s="231"/>
      <c r="E186" s="231"/>
      <c r="F186" s="231"/>
      <c r="G186" s="231"/>
      <c r="H186" s="231"/>
      <c r="I186" s="231"/>
      <c r="J186" s="231"/>
    </row>
    <row r="187" spans="1:10" x14ac:dyDescent="0.2">
      <c r="A187" s="231"/>
      <c r="B187" s="231"/>
      <c r="C187" s="231"/>
      <c r="D187" s="231"/>
      <c r="E187" s="231"/>
      <c r="F187" s="231"/>
      <c r="G187" s="231"/>
      <c r="H187" s="231"/>
      <c r="I187" s="231"/>
      <c r="J187" s="231"/>
    </row>
    <row r="188" spans="1:10" x14ac:dyDescent="0.2">
      <c r="A188" s="231"/>
      <c r="B188" s="231"/>
      <c r="C188" s="231"/>
      <c r="D188" s="231"/>
      <c r="E188" s="231"/>
      <c r="F188" s="231"/>
      <c r="G188" s="231"/>
      <c r="H188" s="231"/>
      <c r="I188" s="231"/>
      <c r="J188" s="231"/>
    </row>
    <row r="189" spans="1:10" x14ac:dyDescent="0.2">
      <c r="A189" s="231"/>
      <c r="B189" s="231"/>
      <c r="C189" s="231"/>
      <c r="D189" s="231"/>
      <c r="E189" s="231"/>
      <c r="F189" s="231"/>
      <c r="G189" s="231"/>
      <c r="H189" s="231"/>
      <c r="I189" s="231"/>
      <c r="J189" s="231"/>
    </row>
    <row r="190" spans="1:10" x14ac:dyDescent="0.2">
      <c r="A190" s="231"/>
      <c r="B190" s="231"/>
      <c r="C190" s="231"/>
      <c r="D190" s="231"/>
      <c r="E190" s="231"/>
      <c r="F190" s="231"/>
      <c r="G190" s="231"/>
      <c r="H190" s="231"/>
      <c r="I190" s="231"/>
      <c r="J190" s="231"/>
    </row>
    <row r="191" spans="1:10" x14ac:dyDescent="0.2">
      <c r="A191" s="231"/>
      <c r="B191" s="231"/>
      <c r="C191" s="231"/>
      <c r="D191" s="231"/>
      <c r="E191" s="231"/>
      <c r="F191" s="231"/>
      <c r="G191" s="231"/>
      <c r="H191" s="231"/>
      <c r="I191" s="231"/>
      <c r="J191" s="231"/>
    </row>
    <row r="192" spans="1:10" x14ac:dyDescent="0.2">
      <c r="A192" s="231"/>
      <c r="B192" s="231"/>
      <c r="C192" s="231"/>
      <c r="D192" s="231"/>
      <c r="E192" s="231"/>
      <c r="F192" s="231"/>
      <c r="G192" s="231"/>
      <c r="H192" s="231"/>
      <c r="I192" s="231"/>
      <c r="J192" s="231"/>
    </row>
    <row r="193" spans="1:10" x14ac:dyDescent="0.2">
      <c r="A193" s="231"/>
      <c r="B193" s="231"/>
      <c r="C193" s="231"/>
      <c r="D193" s="231"/>
      <c r="E193" s="231"/>
      <c r="F193" s="231"/>
      <c r="G193" s="231"/>
      <c r="H193" s="231"/>
      <c r="I193" s="231"/>
      <c r="J193" s="231"/>
    </row>
    <row r="194" spans="1:10" x14ac:dyDescent="0.2">
      <c r="A194" s="231"/>
      <c r="B194" s="231"/>
      <c r="C194" s="231"/>
      <c r="D194" s="231"/>
      <c r="E194" s="231"/>
      <c r="F194" s="231"/>
      <c r="G194" s="231"/>
      <c r="H194" s="231"/>
      <c r="I194" s="231"/>
      <c r="J194" s="231"/>
    </row>
    <row r="195" spans="1:10" x14ac:dyDescent="0.2">
      <c r="A195" s="231"/>
      <c r="B195" s="231"/>
      <c r="C195" s="231"/>
      <c r="D195" s="231"/>
      <c r="E195" s="231"/>
      <c r="F195" s="231"/>
      <c r="G195" s="231"/>
      <c r="H195" s="231"/>
      <c r="I195" s="231"/>
      <c r="J195" s="231"/>
    </row>
    <row r="196" spans="1:10" x14ac:dyDescent="0.2">
      <c r="A196" s="231"/>
      <c r="B196" s="231"/>
      <c r="C196" s="231"/>
      <c r="D196" s="231"/>
      <c r="E196" s="231"/>
      <c r="F196" s="231"/>
      <c r="G196" s="231"/>
      <c r="H196" s="231"/>
      <c r="I196" s="231"/>
      <c r="J196" s="231"/>
    </row>
    <row r="197" spans="1:10" x14ac:dyDescent="0.2">
      <c r="A197" s="231"/>
      <c r="B197" s="231"/>
      <c r="C197" s="231"/>
      <c r="D197" s="231"/>
      <c r="E197" s="231"/>
      <c r="F197" s="231"/>
      <c r="G197" s="231"/>
      <c r="H197" s="231"/>
      <c r="I197" s="231"/>
      <c r="J197" s="231"/>
    </row>
    <row r="198" spans="1:10" x14ac:dyDescent="0.2">
      <c r="A198" s="231"/>
      <c r="B198" s="231"/>
      <c r="C198" s="231"/>
      <c r="D198" s="231"/>
      <c r="E198" s="231"/>
      <c r="F198" s="231"/>
      <c r="G198" s="231"/>
      <c r="H198" s="231"/>
      <c r="I198" s="231"/>
      <c r="J198" s="231"/>
    </row>
    <row r="199" spans="1:10" x14ac:dyDescent="0.2">
      <c r="A199" s="231"/>
      <c r="B199" s="231"/>
      <c r="C199" s="231"/>
      <c r="D199" s="231"/>
      <c r="E199" s="231"/>
      <c r="F199" s="231"/>
      <c r="G199" s="231"/>
      <c r="H199" s="231"/>
      <c r="I199" s="231"/>
      <c r="J199" s="231"/>
    </row>
    <row r="200" spans="1:10" x14ac:dyDescent="0.2">
      <c r="A200" s="231"/>
      <c r="B200" s="231"/>
      <c r="C200" s="231"/>
      <c r="D200" s="231"/>
      <c r="E200" s="231"/>
      <c r="F200" s="231"/>
      <c r="G200" s="231"/>
      <c r="H200" s="231"/>
      <c r="I200" s="231"/>
      <c r="J200" s="231"/>
    </row>
    <row r="201" spans="1:10" x14ac:dyDescent="0.2">
      <c r="A201" s="231"/>
      <c r="B201" s="231"/>
      <c r="C201" s="231"/>
      <c r="D201" s="231"/>
      <c r="E201" s="231"/>
      <c r="F201" s="231"/>
      <c r="G201" s="231"/>
      <c r="H201" s="231"/>
      <c r="I201" s="231"/>
      <c r="J201" s="231"/>
    </row>
    <row r="202" spans="1:10" x14ac:dyDescent="0.2">
      <c r="A202" s="231"/>
      <c r="B202" s="231"/>
      <c r="C202" s="231"/>
      <c r="D202" s="231"/>
      <c r="E202" s="231"/>
      <c r="F202" s="231"/>
      <c r="G202" s="231"/>
      <c r="H202" s="231"/>
      <c r="I202" s="231"/>
      <c r="J202" s="231"/>
    </row>
    <row r="203" spans="1:10" x14ac:dyDescent="0.2">
      <c r="A203" s="231"/>
      <c r="B203" s="231"/>
      <c r="C203" s="231"/>
      <c r="D203" s="231"/>
      <c r="E203" s="231"/>
      <c r="F203" s="231"/>
      <c r="G203" s="231"/>
      <c r="H203" s="231"/>
      <c r="I203" s="231"/>
      <c r="J203" s="231"/>
    </row>
    <row r="204" spans="1:10" x14ac:dyDescent="0.2">
      <c r="A204" s="231"/>
      <c r="B204" s="231"/>
      <c r="C204" s="231"/>
      <c r="D204" s="231"/>
      <c r="E204" s="231"/>
      <c r="F204" s="231"/>
      <c r="G204" s="231"/>
      <c r="H204" s="231"/>
      <c r="I204" s="231"/>
      <c r="J204" s="231"/>
    </row>
    <row r="205" spans="1:10" x14ac:dyDescent="0.2">
      <c r="A205" s="231"/>
      <c r="B205" s="231"/>
      <c r="C205" s="231"/>
      <c r="D205" s="231"/>
      <c r="E205" s="231"/>
      <c r="F205" s="231"/>
      <c r="G205" s="231"/>
      <c r="H205" s="231"/>
      <c r="I205" s="231"/>
      <c r="J205" s="231"/>
    </row>
    <row r="206" spans="1:10" x14ac:dyDescent="0.2">
      <c r="A206" s="231"/>
      <c r="B206" s="231"/>
      <c r="C206" s="231"/>
      <c r="D206" s="231"/>
      <c r="E206" s="231"/>
      <c r="F206" s="231"/>
      <c r="G206" s="231"/>
      <c r="H206" s="231"/>
      <c r="I206" s="231"/>
      <c r="J206" s="231"/>
    </row>
    <row r="207" spans="1:10" x14ac:dyDescent="0.2">
      <c r="A207" s="231"/>
      <c r="B207" s="231"/>
      <c r="C207" s="231"/>
      <c r="D207" s="231"/>
      <c r="E207" s="231"/>
      <c r="F207" s="231"/>
      <c r="G207" s="231"/>
      <c r="H207" s="231"/>
      <c r="I207" s="231"/>
      <c r="J207" s="231"/>
    </row>
    <row r="208" spans="1:10" x14ac:dyDescent="0.2">
      <c r="A208" s="231"/>
      <c r="B208" s="231"/>
      <c r="C208" s="231"/>
      <c r="D208" s="231"/>
      <c r="E208" s="231"/>
      <c r="F208" s="231"/>
      <c r="G208" s="231"/>
      <c r="H208" s="231"/>
      <c r="I208" s="231"/>
      <c r="J208" s="231"/>
    </row>
    <row r="209" spans="1:10" x14ac:dyDescent="0.2">
      <c r="A209" s="231"/>
      <c r="B209" s="231"/>
      <c r="C209" s="231"/>
      <c r="D209" s="231"/>
      <c r="E209" s="231"/>
      <c r="F209" s="231"/>
      <c r="G209" s="231"/>
      <c r="H209" s="231"/>
      <c r="I209" s="231"/>
      <c r="J209" s="231"/>
    </row>
    <row r="210" spans="1:10" x14ac:dyDescent="0.2">
      <c r="A210" s="231"/>
      <c r="B210" s="231"/>
      <c r="C210" s="231"/>
      <c r="D210" s="231"/>
      <c r="E210" s="231"/>
      <c r="F210" s="231"/>
      <c r="G210" s="231"/>
      <c r="H210" s="231"/>
      <c r="I210" s="231"/>
      <c r="J210" s="231"/>
    </row>
    <row r="211" spans="1:10" x14ac:dyDescent="0.2">
      <c r="A211" s="231"/>
      <c r="B211" s="231"/>
      <c r="C211" s="231"/>
      <c r="D211" s="231"/>
      <c r="E211" s="231"/>
      <c r="F211" s="231"/>
      <c r="G211" s="231"/>
      <c r="H211" s="231"/>
      <c r="I211" s="231"/>
      <c r="J211" s="231"/>
    </row>
    <row r="212" spans="1:10" x14ac:dyDescent="0.2">
      <c r="A212" s="231"/>
      <c r="B212" s="231"/>
      <c r="C212" s="231"/>
      <c r="D212" s="231"/>
      <c r="E212" s="231"/>
      <c r="F212" s="231"/>
      <c r="G212" s="231"/>
      <c r="H212" s="231"/>
      <c r="I212" s="231"/>
      <c r="J212" s="231"/>
    </row>
    <row r="213" spans="1:10" x14ac:dyDescent="0.2">
      <c r="A213" s="231"/>
      <c r="B213" s="231"/>
      <c r="C213" s="231"/>
      <c r="D213" s="231"/>
      <c r="E213" s="231"/>
      <c r="F213" s="231"/>
      <c r="G213" s="231"/>
      <c r="H213" s="231"/>
      <c r="I213" s="231"/>
      <c r="J213" s="231"/>
    </row>
    <row r="214" spans="1:10" x14ac:dyDescent="0.2">
      <c r="A214" s="231"/>
      <c r="B214" s="231"/>
      <c r="C214" s="231"/>
      <c r="D214" s="231"/>
      <c r="E214" s="231"/>
      <c r="F214" s="231"/>
      <c r="G214" s="231"/>
      <c r="H214" s="231"/>
      <c r="I214" s="231"/>
      <c r="J214" s="231"/>
    </row>
    <row r="215" spans="1:10" x14ac:dyDescent="0.2">
      <c r="A215" s="231"/>
      <c r="B215" s="231"/>
      <c r="C215" s="231"/>
      <c r="D215" s="231"/>
      <c r="E215" s="231"/>
      <c r="F215" s="231"/>
      <c r="G215" s="231"/>
      <c r="H215" s="231"/>
      <c r="I215" s="231"/>
      <c r="J215" s="231"/>
    </row>
    <row r="216" spans="1:10" x14ac:dyDescent="0.2">
      <c r="A216" s="231"/>
      <c r="B216" s="231"/>
      <c r="C216" s="231"/>
      <c r="D216" s="231"/>
      <c r="E216" s="231"/>
      <c r="F216" s="231"/>
      <c r="G216" s="231"/>
      <c r="H216" s="231"/>
      <c r="I216" s="231"/>
      <c r="J216" s="231"/>
    </row>
    <row r="217" spans="1:10" x14ac:dyDescent="0.2">
      <c r="A217" s="231"/>
      <c r="B217" s="231"/>
      <c r="C217" s="231"/>
      <c r="D217" s="231"/>
      <c r="E217" s="231"/>
      <c r="F217" s="231"/>
      <c r="G217" s="231"/>
      <c r="H217" s="231"/>
      <c r="I217" s="231"/>
      <c r="J217" s="231"/>
    </row>
    <row r="218" spans="1:10" x14ac:dyDescent="0.2">
      <c r="A218" s="231"/>
      <c r="B218" s="231"/>
      <c r="C218" s="231"/>
      <c r="D218" s="231"/>
      <c r="E218" s="231"/>
      <c r="F218" s="231"/>
      <c r="G218" s="231"/>
      <c r="H218" s="231"/>
      <c r="I218" s="231"/>
      <c r="J218" s="231"/>
    </row>
    <row r="219" spans="1:10" x14ac:dyDescent="0.2">
      <c r="A219" s="231"/>
      <c r="B219" s="231"/>
      <c r="C219" s="231"/>
      <c r="D219" s="231"/>
      <c r="E219" s="231"/>
      <c r="F219" s="231"/>
      <c r="G219" s="231"/>
      <c r="H219" s="231"/>
      <c r="I219" s="231"/>
      <c r="J219" s="231"/>
    </row>
    <row r="220" spans="1:10" x14ac:dyDescent="0.2">
      <c r="A220" s="231"/>
      <c r="B220" s="231"/>
      <c r="C220" s="231"/>
      <c r="D220" s="231"/>
      <c r="E220" s="231"/>
      <c r="F220" s="231"/>
      <c r="G220" s="231"/>
      <c r="H220" s="231"/>
      <c r="I220" s="231"/>
      <c r="J220" s="231"/>
    </row>
    <row r="221" spans="1:10" x14ac:dyDescent="0.2">
      <c r="A221" s="231"/>
      <c r="B221" s="231"/>
      <c r="C221" s="231"/>
      <c r="D221" s="231"/>
      <c r="E221" s="231"/>
      <c r="F221" s="231"/>
      <c r="G221" s="231"/>
      <c r="H221" s="231"/>
      <c r="I221" s="231"/>
      <c r="J221" s="231"/>
    </row>
    <row r="222" spans="1:10" x14ac:dyDescent="0.2">
      <c r="A222" s="231"/>
      <c r="B222" s="231"/>
      <c r="C222" s="231"/>
      <c r="D222" s="231"/>
      <c r="E222" s="231"/>
      <c r="F222" s="231"/>
      <c r="G222" s="231"/>
      <c r="H222" s="231"/>
      <c r="I222" s="231"/>
      <c r="J222" s="231"/>
    </row>
    <row r="223" spans="1:10" x14ac:dyDescent="0.2">
      <c r="A223" s="231"/>
      <c r="B223" s="231"/>
      <c r="C223" s="231"/>
      <c r="D223" s="231"/>
      <c r="E223" s="231"/>
      <c r="F223" s="231"/>
      <c r="G223" s="231"/>
      <c r="H223" s="231"/>
      <c r="I223" s="231"/>
      <c r="J223" s="231"/>
    </row>
    <row r="224" spans="1:10" x14ac:dyDescent="0.2">
      <c r="A224" s="231"/>
      <c r="B224" s="231"/>
      <c r="C224" s="231"/>
      <c r="D224" s="231"/>
      <c r="E224" s="231"/>
      <c r="F224" s="231"/>
      <c r="G224" s="231"/>
      <c r="H224" s="231"/>
      <c r="I224" s="231"/>
      <c r="J224" s="231"/>
    </row>
    <row r="225" spans="1:10" x14ac:dyDescent="0.2">
      <c r="A225" s="231"/>
      <c r="B225" s="231"/>
      <c r="C225" s="231"/>
      <c r="D225" s="231"/>
      <c r="E225" s="231"/>
      <c r="F225" s="231"/>
      <c r="G225" s="231"/>
      <c r="H225" s="231"/>
      <c r="I225" s="231"/>
      <c r="J225" s="231"/>
    </row>
    <row r="226" spans="1:10" x14ac:dyDescent="0.2">
      <c r="A226" s="231"/>
      <c r="B226" s="231"/>
      <c r="C226" s="231"/>
      <c r="D226" s="231"/>
      <c r="E226" s="231"/>
      <c r="F226" s="231"/>
      <c r="G226" s="231"/>
      <c r="H226" s="231"/>
      <c r="I226" s="231"/>
      <c r="J226" s="23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G46"/>
  <sheetViews>
    <sheetView topLeftCell="A4" zoomScaleNormal="100" workbookViewId="0">
      <selection activeCell="C5" sqref="C5"/>
    </sheetView>
  </sheetViews>
  <sheetFormatPr defaultRowHeight="12" x14ac:dyDescent="0.2"/>
  <cols>
    <col min="1" max="1" width="4.28515625" style="235" customWidth="1"/>
    <col min="2" max="2" width="34.28515625" style="235" customWidth="1"/>
    <col min="3" max="3" width="10.85546875" style="235" customWidth="1"/>
    <col min="4" max="4" width="11.7109375" style="235" customWidth="1"/>
    <col min="5" max="5" width="12.85546875" style="235" customWidth="1"/>
    <col min="6" max="16384" width="9.140625" style="235"/>
  </cols>
  <sheetData>
    <row r="2" spans="1:7" ht="12.75" customHeight="1" x14ac:dyDescent="0.2">
      <c r="C2" s="290" t="s">
        <v>353</v>
      </c>
      <c r="D2" s="290"/>
      <c r="E2" s="290"/>
      <c r="F2" s="290"/>
      <c r="G2" s="290"/>
    </row>
    <row r="3" spans="1:7" ht="12" customHeight="1" x14ac:dyDescent="0.2">
      <c r="C3" s="290"/>
      <c r="D3" s="290"/>
      <c r="E3" s="290"/>
      <c r="F3" s="290"/>
      <c r="G3" s="290"/>
    </row>
    <row r="4" spans="1:7" x14ac:dyDescent="0.2">
      <c r="C4" s="290"/>
      <c r="D4" s="290"/>
      <c r="E4" s="290"/>
      <c r="F4" s="290"/>
      <c r="G4" s="290"/>
    </row>
    <row r="6" spans="1:7" x14ac:dyDescent="0.2">
      <c r="A6" s="236" t="s">
        <v>277</v>
      </c>
      <c r="B6" s="237"/>
      <c r="C6" s="237"/>
      <c r="D6" s="237"/>
      <c r="E6" s="237"/>
      <c r="F6" s="237"/>
    </row>
    <row r="7" spans="1:7" x14ac:dyDescent="0.2">
      <c r="A7" s="237"/>
      <c r="B7" s="238" t="s">
        <v>278</v>
      </c>
      <c r="C7" s="238" t="s">
        <v>279</v>
      </c>
      <c r="D7" s="291" t="s">
        <v>213</v>
      </c>
      <c r="E7" s="291"/>
      <c r="F7" s="238" t="s">
        <v>280</v>
      </c>
    </row>
    <row r="8" spans="1:7" ht="13.5" x14ac:dyDescent="0.2">
      <c r="A8" s="237"/>
      <c r="B8" s="239" t="s">
        <v>281</v>
      </c>
      <c r="C8" s="240" t="s">
        <v>317</v>
      </c>
      <c r="D8" s="292">
        <f ca="1">MeasuredLifetime</f>
        <v>1327.9461994135909</v>
      </c>
      <c r="E8" s="292"/>
      <c r="F8" s="241" t="s">
        <v>318</v>
      </c>
    </row>
    <row r="9" spans="1:7" ht="13.5" x14ac:dyDescent="0.2">
      <c r="A9" s="237"/>
      <c r="B9" s="239" t="s">
        <v>282</v>
      </c>
      <c r="C9" s="241" t="s">
        <v>319</v>
      </c>
      <c r="D9" s="288">
        <f>SpecMCD</f>
        <v>1000000000000000</v>
      </c>
      <c r="E9" s="288"/>
      <c r="F9" s="241" t="s">
        <v>320</v>
      </c>
    </row>
    <row r="10" spans="1:7" x14ac:dyDescent="0.2">
      <c r="A10" s="237"/>
      <c r="B10" s="239" t="s">
        <v>334</v>
      </c>
      <c r="C10" s="245" t="s">
        <v>288</v>
      </c>
      <c r="D10" s="299" t="s">
        <v>288</v>
      </c>
      <c r="E10" s="288"/>
      <c r="F10" s="245" t="s">
        <v>288</v>
      </c>
    </row>
    <row r="11" spans="1:7" ht="13.5" x14ac:dyDescent="0.2">
      <c r="A11" s="237"/>
      <c r="B11" s="242" t="s">
        <v>283</v>
      </c>
      <c r="C11" s="241" t="s">
        <v>284</v>
      </c>
      <c r="D11" s="286"/>
      <c r="E11" s="286"/>
      <c r="F11" s="241" t="s">
        <v>321</v>
      </c>
    </row>
    <row r="12" spans="1:7" ht="13.5" x14ac:dyDescent="0.2">
      <c r="A12" s="237"/>
      <c r="B12" s="242" t="s">
        <v>335</v>
      </c>
      <c r="C12" s="243" t="s">
        <v>322</v>
      </c>
      <c r="D12" s="286"/>
      <c r="E12" s="286"/>
      <c r="F12" s="241" t="s">
        <v>318</v>
      </c>
    </row>
    <row r="13" spans="1:7" ht="13.5" x14ac:dyDescent="0.2">
      <c r="A13" s="237"/>
      <c r="B13" s="242" t="s">
        <v>336</v>
      </c>
      <c r="C13" s="241" t="s">
        <v>323</v>
      </c>
      <c r="D13" s="287">
        <f ca="1">Jo</f>
        <v>3.4705416346727559E-13</v>
      </c>
      <c r="E13" s="287"/>
      <c r="F13" s="241" t="s">
        <v>324</v>
      </c>
    </row>
    <row r="14" spans="1:7" ht="6.75" customHeight="1" x14ac:dyDescent="0.2">
      <c r="A14" s="237"/>
      <c r="B14" s="237"/>
      <c r="C14" s="237"/>
      <c r="D14" s="300"/>
      <c r="E14" s="300"/>
      <c r="F14" s="237"/>
    </row>
    <row r="15" spans="1:7" x14ac:dyDescent="0.2">
      <c r="A15" s="236" t="s">
        <v>285</v>
      </c>
      <c r="C15" s="237"/>
      <c r="D15" s="300"/>
      <c r="E15" s="300"/>
      <c r="F15" s="237"/>
    </row>
    <row r="16" spans="1:7" x14ac:dyDescent="0.2">
      <c r="A16" s="237"/>
      <c r="B16" s="238" t="s">
        <v>286</v>
      </c>
      <c r="C16" s="238" t="s">
        <v>279</v>
      </c>
      <c r="D16" s="291" t="s">
        <v>213</v>
      </c>
      <c r="E16" s="291"/>
      <c r="F16" s="238" t="s">
        <v>280</v>
      </c>
    </row>
    <row r="17" spans="1:6" x14ac:dyDescent="0.2">
      <c r="A17" s="237"/>
      <c r="B17" s="244" t="s">
        <v>287</v>
      </c>
      <c r="C17" s="245" t="s">
        <v>288</v>
      </c>
      <c r="D17" s="288" t="str">
        <f>SampleNameUserSheet</f>
        <v>jun-dq07</v>
      </c>
      <c r="E17" s="288"/>
      <c r="F17" s="245" t="s">
        <v>288</v>
      </c>
    </row>
    <row r="18" spans="1:6" x14ac:dyDescent="0.2">
      <c r="A18" s="237"/>
      <c r="B18" s="239" t="s">
        <v>289</v>
      </c>
      <c r="C18" s="241" t="s">
        <v>290</v>
      </c>
      <c r="D18" s="288">
        <f>Thickness</f>
        <v>0.05</v>
      </c>
      <c r="E18" s="288"/>
      <c r="F18" s="246" t="s">
        <v>291</v>
      </c>
    </row>
    <row r="19" spans="1:6" x14ac:dyDescent="0.2">
      <c r="A19" s="237"/>
      <c r="B19" s="239" t="s">
        <v>292</v>
      </c>
      <c r="C19" s="241" t="s">
        <v>293</v>
      </c>
      <c r="D19" s="286"/>
      <c r="E19" s="286"/>
      <c r="F19" s="241" t="s">
        <v>325</v>
      </c>
    </row>
    <row r="20" spans="1:6" ht="13.5" x14ac:dyDescent="0.2">
      <c r="A20" s="237"/>
      <c r="B20" s="239" t="s">
        <v>294</v>
      </c>
      <c r="C20" s="241" t="s">
        <v>326</v>
      </c>
      <c r="D20" s="287">
        <f>SampleDoping</f>
        <v>44279440842219.18</v>
      </c>
      <c r="E20" s="287"/>
      <c r="F20" s="241" t="s">
        <v>320</v>
      </c>
    </row>
    <row r="21" spans="1:6" x14ac:dyDescent="0.2">
      <c r="A21" s="237"/>
      <c r="B21" s="239" t="s">
        <v>295</v>
      </c>
      <c r="C21" s="241" t="s">
        <v>296</v>
      </c>
      <c r="D21" s="288" t="str">
        <f>SampleType</f>
        <v>n-type</v>
      </c>
      <c r="E21" s="288"/>
      <c r="F21" s="241"/>
    </row>
    <row r="22" spans="1:6" x14ac:dyDescent="0.2">
      <c r="A22" s="237"/>
      <c r="B22" s="239" t="s">
        <v>297</v>
      </c>
      <c r="C22" s="245" t="s">
        <v>288</v>
      </c>
      <c r="D22" s="286"/>
      <c r="E22" s="286"/>
      <c r="F22" s="241"/>
    </row>
    <row r="23" spans="1:6" x14ac:dyDescent="0.2">
      <c r="A23" s="237"/>
      <c r="B23" s="239" t="s">
        <v>298</v>
      </c>
      <c r="C23" s="245" t="s">
        <v>288</v>
      </c>
      <c r="D23" s="289"/>
      <c r="E23" s="286"/>
      <c r="F23" s="245"/>
    </row>
    <row r="24" spans="1:6" x14ac:dyDescent="0.2">
      <c r="A24" s="237"/>
      <c r="B24" s="242" t="s">
        <v>299</v>
      </c>
      <c r="C24" s="245" t="s">
        <v>288</v>
      </c>
      <c r="D24" s="286"/>
      <c r="E24" s="286"/>
      <c r="F24" s="241"/>
    </row>
    <row r="25" spans="1:6" x14ac:dyDescent="0.2">
      <c r="A25" s="237"/>
      <c r="B25" s="242" t="s">
        <v>300</v>
      </c>
      <c r="C25" s="245" t="s">
        <v>288</v>
      </c>
      <c r="D25" s="286"/>
      <c r="E25" s="286"/>
      <c r="F25" s="241"/>
    </row>
    <row r="26" spans="1:6" ht="5.25" customHeight="1" x14ac:dyDescent="0.2">
      <c r="A26" s="237"/>
      <c r="B26" s="237"/>
      <c r="C26" s="237"/>
      <c r="D26" s="237"/>
      <c r="E26" s="237"/>
      <c r="F26" s="237"/>
    </row>
    <row r="27" spans="1:6" x14ac:dyDescent="0.2">
      <c r="A27" s="236" t="s">
        <v>301</v>
      </c>
      <c r="C27" s="237"/>
      <c r="D27" s="237"/>
      <c r="E27" s="237"/>
      <c r="F27" s="237"/>
    </row>
    <row r="28" spans="1:6" x14ac:dyDescent="0.2">
      <c r="A28" s="237"/>
      <c r="B28" s="247" t="str">
        <f>IF(AnalysisMode="Transient","X     ","")</f>
        <v xml:space="preserve">X     </v>
      </c>
      <c r="C28" s="248" t="s">
        <v>65</v>
      </c>
      <c r="D28" s="237"/>
      <c r="E28" s="237"/>
      <c r="F28" s="237"/>
    </row>
    <row r="29" spans="1:6" x14ac:dyDescent="0.2">
      <c r="B29" s="247" t="str">
        <f>IF(AnalysisMode="QSS","X     ","")</f>
        <v/>
      </c>
      <c r="C29" s="248" t="s">
        <v>302</v>
      </c>
      <c r="F29" s="237"/>
    </row>
    <row r="30" spans="1:6" x14ac:dyDescent="0.2">
      <c r="B30" s="247" t="str">
        <f>IF(AnalysisMode="Generalized","X     ","")</f>
        <v/>
      </c>
      <c r="C30" s="235" t="s">
        <v>130</v>
      </c>
      <c r="F30" s="237"/>
    </row>
    <row r="31" spans="1:6" ht="7.5" customHeight="1" x14ac:dyDescent="0.2">
      <c r="B31" s="249"/>
      <c r="F31" s="237"/>
    </row>
    <row r="32" spans="1:6" x14ac:dyDescent="0.2">
      <c r="A32" s="237"/>
      <c r="B32" s="239" t="s">
        <v>303</v>
      </c>
      <c r="C32" s="293"/>
      <c r="D32" s="294"/>
      <c r="E32" s="295"/>
      <c r="F32" s="237"/>
    </row>
    <row r="33" spans="1:6" x14ac:dyDescent="0.2">
      <c r="A33" s="237"/>
      <c r="B33" s="239" t="s">
        <v>304</v>
      </c>
      <c r="C33" s="296" t="str">
        <f>IF(BiasLight=0,"N/A","Software correction: Bias Light = " &amp;BiasLight &amp;" suns")</f>
        <v>N/A</v>
      </c>
      <c r="D33" s="297"/>
      <c r="E33" s="298"/>
      <c r="F33" s="237"/>
    </row>
    <row r="34" spans="1:6" ht="5.25" customHeight="1" x14ac:dyDescent="0.2">
      <c r="A34" s="237"/>
      <c r="C34" s="237"/>
      <c r="D34" s="237"/>
      <c r="E34" s="237"/>
      <c r="F34" s="237"/>
    </row>
    <row r="35" spans="1:6" x14ac:dyDescent="0.2">
      <c r="A35" s="236" t="s">
        <v>305</v>
      </c>
      <c r="C35" s="237"/>
      <c r="D35" s="237"/>
      <c r="E35" s="237"/>
      <c r="F35" s="237"/>
    </row>
    <row r="36" spans="1:6" x14ac:dyDescent="0.2">
      <c r="A36" s="237"/>
      <c r="B36" s="301" t="s">
        <v>286</v>
      </c>
      <c r="C36" s="302"/>
      <c r="D36" s="301" t="s">
        <v>213</v>
      </c>
      <c r="E36" s="302"/>
      <c r="F36" s="238" t="s">
        <v>280</v>
      </c>
    </row>
    <row r="37" spans="1:6" x14ac:dyDescent="0.2">
      <c r="A37" s="237"/>
      <c r="B37" s="303" t="s">
        <v>306</v>
      </c>
      <c r="C37" s="304"/>
      <c r="D37" s="296" t="str">
        <f>InstrumentType &amp;", Software v"&amp;User!L2</f>
        <v>WCT-120, Software v4.3</v>
      </c>
      <c r="E37" s="298"/>
      <c r="F37" s="245" t="s">
        <v>288</v>
      </c>
    </row>
    <row r="38" spans="1:6" x14ac:dyDescent="0.2">
      <c r="A38" s="237"/>
      <c r="B38" s="303" t="s">
        <v>307</v>
      </c>
      <c r="C38" s="304"/>
      <c r="D38" s="296" t="str">
        <f>InstrumentSN</f>
        <v>WCT-120</v>
      </c>
      <c r="E38" s="298"/>
      <c r="F38" s="245" t="s">
        <v>288</v>
      </c>
    </row>
    <row r="39" spans="1:6" ht="104.25" customHeight="1" x14ac:dyDescent="0.2">
      <c r="A39" s="237"/>
      <c r="B39" s="303" t="s">
        <v>308</v>
      </c>
      <c r="C39" s="304"/>
      <c r="D39" s="296"/>
      <c r="E39" s="298"/>
      <c r="F39" s="241"/>
    </row>
    <row r="40" spans="1:6" ht="26.25" customHeight="1" x14ac:dyDescent="0.2">
      <c r="A40" s="237"/>
      <c r="B40" s="305" t="s">
        <v>309</v>
      </c>
      <c r="C40" s="306"/>
      <c r="D40" s="307" t="str">
        <f>"Reference Cell Calibration = " &amp;ROUND(RefCellCal,3) &amp;" Optical Constant = " &amp;OptConst</f>
        <v>Reference Cell Calibration = 0.011 Optical Constant = 0.96</v>
      </c>
      <c r="E40" s="308"/>
      <c r="F40" s="250" t="s">
        <v>329</v>
      </c>
    </row>
    <row r="41" spans="1:6" x14ac:dyDescent="0.2">
      <c r="A41" s="237"/>
      <c r="B41" s="303" t="s">
        <v>310</v>
      </c>
      <c r="C41" s="304"/>
      <c r="D41" s="288" t="s">
        <v>311</v>
      </c>
      <c r="E41" s="288"/>
      <c r="F41" s="245" t="s">
        <v>288</v>
      </c>
    </row>
    <row r="42" spans="1:6" ht="24.75" customHeight="1" x14ac:dyDescent="0.2">
      <c r="A42" s="237"/>
      <c r="B42" s="305" t="s">
        <v>327</v>
      </c>
      <c r="C42" s="306"/>
      <c r="D42" s="307" t="str">
        <f>"SEMI PV13 (A,B,C = " &amp;ROUND(A_cal,5) &amp;", "&amp;ROUND(B_cal,5) &amp;", " &amp;ROUND(C_cal,5) &amp;")"</f>
        <v>SEMI PV13 (A,B,C = 0.00105, 0.02389, -0.85623)</v>
      </c>
      <c r="E42" s="308"/>
      <c r="F42" s="245" t="s">
        <v>288</v>
      </c>
    </row>
    <row r="43" spans="1:6" x14ac:dyDescent="0.2">
      <c r="A43" s="237"/>
      <c r="B43" s="303" t="s">
        <v>312</v>
      </c>
      <c r="C43" s="304"/>
      <c r="D43" s="299" t="s">
        <v>288</v>
      </c>
      <c r="E43" s="288"/>
      <c r="F43" s="245" t="s">
        <v>288</v>
      </c>
    </row>
    <row r="44" spans="1:6" ht="13.5" x14ac:dyDescent="0.2">
      <c r="A44" s="237"/>
      <c r="B44" s="305" t="s">
        <v>313</v>
      </c>
      <c r="C44" s="306"/>
      <c r="D44" s="292">
        <f>PI()*(4/2)^2</f>
        <v>12.566370614359172</v>
      </c>
      <c r="E44" s="292"/>
      <c r="F44" s="241" t="s">
        <v>328</v>
      </c>
    </row>
    <row r="45" spans="1:6" x14ac:dyDescent="0.2">
      <c r="A45" s="237"/>
      <c r="B45" s="305" t="s">
        <v>314</v>
      </c>
      <c r="C45" s="306"/>
      <c r="D45" s="288" t="s">
        <v>315</v>
      </c>
      <c r="E45" s="288"/>
      <c r="F45" s="245" t="s">
        <v>288</v>
      </c>
    </row>
    <row r="46" spans="1:6" x14ac:dyDescent="0.2">
      <c r="B46" s="305" t="s">
        <v>330</v>
      </c>
      <c r="C46" s="306"/>
      <c r="D46" s="309"/>
      <c r="E46" s="309"/>
      <c r="F46" s="251"/>
    </row>
  </sheetData>
  <sheetProtection selectLockedCells="1"/>
  <mergeCells count="44">
    <mergeCell ref="B46:C46"/>
    <mergeCell ref="D46:E46"/>
    <mergeCell ref="B43:C43"/>
    <mergeCell ref="D43:E43"/>
    <mergeCell ref="B44:C44"/>
    <mergeCell ref="D44:E44"/>
    <mergeCell ref="B45:C45"/>
    <mergeCell ref="D45:E45"/>
    <mergeCell ref="B42:C42"/>
    <mergeCell ref="D42:E42"/>
    <mergeCell ref="B38:C38"/>
    <mergeCell ref="D38:E38"/>
    <mergeCell ref="B39:C39"/>
    <mergeCell ref="D39:E39"/>
    <mergeCell ref="B40:C40"/>
    <mergeCell ref="D40:E40"/>
    <mergeCell ref="B36:C36"/>
    <mergeCell ref="D36:E36"/>
    <mergeCell ref="B37:C37"/>
    <mergeCell ref="D37:E37"/>
    <mergeCell ref="B41:C41"/>
    <mergeCell ref="D41:E41"/>
    <mergeCell ref="C2:G4"/>
    <mergeCell ref="D7:E7"/>
    <mergeCell ref="D8:E8"/>
    <mergeCell ref="C32:E32"/>
    <mergeCell ref="C33:E33"/>
    <mergeCell ref="D9:E9"/>
    <mergeCell ref="D10:E10"/>
    <mergeCell ref="D11:E11"/>
    <mergeCell ref="D12:E12"/>
    <mergeCell ref="D13:E13"/>
    <mergeCell ref="D14:E14"/>
    <mergeCell ref="D15:E15"/>
    <mergeCell ref="D16:E16"/>
    <mergeCell ref="D17:E17"/>
    <mergeCell ref="D18:E18"/>
    <mergeCell ref="D24:E24"/>
    <mergeCell ref="D25:E25"/>
    <mergeCell ref="D19:E19"/>
    <mergeCell ref="D20:E20"/>
    <mergeCell ref="D21:E21"/>
    <mergeCell ref="D22:E22"/>
    <mergeCell ref="D23:E23"/>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7"/>
  <sheetViews>
    <sheetView workbookViewId="0">
      <selection activeCell="H6" sqref="H6"/>
    </sheetView>
  </sheetViews>
  <sheetFormatPr defaultRowHeight="12.75" x14ac:dyDescent="0.2"/>
  <cols>
    <col min="1" max="1" width="9.140625" style="104"/>
    <col min="2" max="2" width="22.42578125" style="104" customWidth="1"/>
    <col min="3" max="3" width="12.28515625" style="104" customWidth="1"/>
    <col min="4" max="4" width="17.7109375" style="104" customWidth="1"/>
    <col min="5" max="5" width="13.140625" style="104" customWidth="1"/>
    <col min="6" max="6" width="11.85546875" style="104" customWidth="1"/>
    <col min="7" max="7" width="19.7109375" style="104" customWidth="1"/>
    <col min="8" max="8" width="13.28515625" style="104" customWidth="1"/>
    <col min="9" max="9" width="12.7109375" style="104" customWidth="1"/>
    <col min="10" max="11" width="9.140625" style="104"/>
    <col min="12" max="12" width="12.42578125" style="104" bestFit="1" customWidth="1"/>
    <col min="13" max="16384" width="9.140625" style="104"/>
  </cols>
  <sheetData>
    <row r="1" spans="1:13" ht="14.25" customHeight="1" x14ac:dyDescent="0.2"/>
    <row r="2" spans="1:13" x14ac:dyDescent="0.2">
      <c r="B2" s="139" t="s">
        <v>212</v>
      </c>
      <c r="C2" s="140" t="s">
        <v>213</v>
      </c>
      <c r="D2" s="140" t="s">
        <v>188</v>
      </c>
      <c r="E2" s="139" t="s">
        <v>214</v>
      </c>
    </row>
    <row r="3" spans="1:13" ht="15.75" customHeight="1" x14ac:dyDescent="0.2">
      <c r="B3" s="104" t="s">
        <v>51</v>
      </c>
      <c r="C3" s="142">
        <v>5</v>
      </c>
      <c r="D3" s="107">
        <f>VLOOKUP(C3,$D$30:$E$37,2,FALSE)</f>
        <v>2</v>
      </c>
      <c r="E3" s="104" t="str">
        <f>" /pcgain="&amp;D3</f>
        <v xml:space="preserve"> /pcgain=2</v>
      </c>
      <c r="F3" s="105"/>
      <c r="G3" s="104" t="s">
        <v>50</v>
      </c>
      <c r="H3" s="108" t="s">
        <v>352</v>
      </c>
    </row>
    <row r="4" spans="1:13" x14ac:dyDescent="0.2">
      <c r="B4" s="104" t="s">
        <v>52</v>
      </c>
      <c r="C4" s="142">
        <v>0.2</v>
      </c>
      <c r="D4" s="107">
        <f>VLOOKUP(C4,$D$30:$E$37,2,FALSE)</f>
        <v>50</v>
      </c>
      <c r="E4" s="104" t="str">
        <f>" /refgain="&amp;D4</f>
        <v xml:space="preserve"> /refgain=50</v>
      </c>
      <c r="F4" s="105"/>
      <c r="G4" s="109" t="s">
        <v>218</v>
      </c>
      <c r="H4" s="109" t="str">
        <f>PathName&amp;PCGainFlag&amp;RefGainFlag&amp;BaseGainFlag&amp;xferFlag&amp;flashWaitFlag&amp;numFlashesFlag&amp;TimeScaleFlags</f>
        <v>C:\lifetime\lifetime.exe /subbase=2 /basetime_us=20000 /pcgain=2 /refgain=50 /basegain=1 /xfer=125 /flashwait_s=0.3 /numflashes=1 /ltransient=100000 /ntransient=3</v>
      </c>
      <c r="L4" s="108"/>
    </row>
    <row r="5" spans="1:13" x14ac:dyDescent="0.2">
      <c r="B5" s="104" t="s">
        <v>53</v>
      </c>
      <c r="C5" s="142">
        <v>10</v>
      </c>
      <c r="D5" s="107">
        <f>VLOOKUP(C5,$D$30:$E$37,2,FALSE)</f>
        <v>1</v>
      </c>
      <c r="E5" s="104" t="str">
        <f>" /basegain="&amp;D5</f>
        <v xml:space="preserve"> /basegain=1</v>
      </c>
      <c r="G5" s="145" t="s">
        <v>217</v>
      </c>
      <c r="H5" s="145" t="str">
        <f>"C:\lifetime\lifetime.exe /baseonly=true /autoexit=true"&amp;E12</f>
        <v>C:\lifetime\lifetime.exe /baseonly=true /autoexit=true /basegain=10</v>
      </c>
    </row>
    <row r="6" spans="1:13" x14ac:dyDescent="0.2">
      <c r="B6" s="108" t="s">
        <v>257</v>
      </c>
      <c r="C6" s="143">
        <f>PulseLength</f>
        <v>12500</v>
      </c>
      <c r="D6" s="107"/>
      <c r="E6" s="104" t="str">
        <f>" /pulselength="&amp;PulseLength</f>
        <v xml:space="preserve"> /pulselength=12500</v>
      </c>
    </row>
    <row r="7" spans="1:13" x14ac:dyDescent="0.2">
      <c r="B7" s="108" t="s">
        <v>234</v>
      </c>
      <c r="C7" s="143">
        <f>TSampleTime</f>
        <v>100000</v>
      </c>
      <c r="D7" s="107"/>
      <c r="E7" s="104" t="str">
        <f>" /ltransient="&amp;C7</f>
        <v xml:space="preserve"> /ltransient=100000</v>
      </c>
      <c r="G7" s="108" t="s">
        <v>258</v>
      </c>
      <c r="H7" s="104" t="str">
        <f>IF(AnalysisMode = "Transient",ltransientFlag&amp;ntransientFlag,PulseLengthFlag)</f>
        <v xml:space="preserve"> /ltransient=100000 /ntransient=3</v>
      </c>
    </row>
    <row r="8" spans="1:13" x14ac:dyDescent="0.2">
      <c r="B8" s="108" t="s">
        <v>239</v>
      </c>
      <c r="C8" s="143">
        <f>TNumTaus</f>
        <v>3</v>
      </c>
      <c r="D8" s="107"/>
      <c r="E8" s="104" t="str">
        <f>" /ntransient="&amp;C8</f>
        <v xml:space="preserve"> /ntransient=3</v>
      </c>
    </row>
    <row r="9" spans="1:13" x14ac:dyDescent="0.2">
      <c r="A9" s="107"/>
      <c r="B9" s="105" t="s">
        <v>54</v>
      </c>
      <c r="C9" s="142">
        <v>125</v>
      </c>
      <c r="D9" s="107"/>
      <c r="E9" s="108" t="str">
        <f>" /xfer="&amp;C9</f>
        <v xml:space="preserve"> /xfer=125</v>
      </c>
      <c r="J9" s="105"/>
      <c r="L9" s="105"/>
      <c r="M9" s="105"/>
    </row>
    <row r="10" spans="1:13" x14ac:dyDescent="0.2">
      <c r="A10" s="107"/>
      <c r="B10" s="106" t="s">
        <v>82</v>
      </c>
      <c r="C10" s="142">
        <f>IF(AnalysisMode="Transient",TransFlashDelay,QSSFlashDelay)</f>
        <v>0.3</v>
      </c>
      <c r="D10" s="107"/>
      <c r="E10" s="104" t="str">
        <f>" /flashwait_s="&amp;C10</f>
        <v xml:space="preserve"> /flashwait_s=0.3</v>
      </c>
      <c r="J10" s="105"/>
    </row>
    <row r="11" spans="1:13" x14ac:dyDescent="0.2">
      <c r="A11" s="107"/>
      <c r="B11" s="169" t="s">
        <v>227</v>
      </c>
      <c r="C11" s="142">
        <v>1</v>
      </c>
      <c r="D11" s="107"/>
      <c r="E11" s="104" t="str">
        <f>" /numflashes="&amp;C11</f>
        <v xml:space="preserve"> /numflashes=1</v>
      </c>
      <c r="J11" s="105"/>
    </row>
    <row r="12" spans="1:13" x14ac:dyDescent="0.2">
      <c r="A12" s="107"/>
      <c r="B12" s="108" t="s">
        <v>215</v>
      </c>
      <c r="C12" s="141">
        <f>AirVoltageRange</f>
        <v>1</v>
      </c>
      <c r="D12" s="107">
        <f>VLOOKUP(C12,$D$30:$E$37,2,FALSE)</f>
        <v>10</v>
      </c>
      <c r="E12" s="104" t="str">
        <f>" /basegain="&amp;D12</f>
        <v xml:space="preserve"> /basegain=10</v>
      </c>
      <c r="J12" s="105"/>
      <c r="L12" s="105"/>
    </row>
    <row r="13" spans="1:13" x14ac:dyDescent="0.2">
      <c r="A13" s="107"/>
    </row>
    <row r="14" spans="1:13" x14ac:dyDescent="0.2">
      <c r="A14" s="107"/>
      <c r="D14" s="109"/>
      <c r="E14" s="109"/>
      <c r="F14" s="109"/>
      <c r="G14" s="109"/>
      <c r="H14" s="109"/>
      <c r="I14" s="109"/>
      <c r="J14" s="109"/>
      <c r="K14" s="109"/>
    </row>
    <row r="15" spans="1:13" x14ac:dyDescent="0.2">
      <c r="A15" s="107"/>
      <c r="B15" s="139" t="s">
        <v>219</v>
      </c>
      <c r="C15" s="164" t="s">
        <v>220</v>
      </c>
      <c r="D15" s="165"/>
      <c r="E15" s="166" t="s">
        <v>221</v>
      </c>
      <c r="F15" s="153"/>
    </row>
    <row r="16" spans="1:13" x14ac:dyDescent="0.2">
      <c r="A16" s="107"/>
      <c r="B16" s="143" t="s">
        <v>19</v>
      </c>
      <c r="C16" s="167" t="s">
        <v>222</v>
      </c>
      <c r="D16" s="168" t="s">
        <v>223</v>
      </c>
      <c r="E16" s="167" t="s">
        <v>222</v>
      </c>
      <c r="F16" s="168" t="s">
        <v>223</v>
      </c>
      <c r="G16" s="144" t="s">
        <v>226</v>
      </c>
    </row>
    <row r="17" spans="1:7" x14ac:dyDescent="0.2">
      <c r="A17" s="107"/>
      <c r="B17" s="107">
        <v>0</v>
      </c>
      <c r="C17" s="154">
        <f>C3</f>
        <v>5</v>
      </c>
      <c r="D17" s="155">
        <f>C17*G17</f>
        <v>2</v>
      </c>
      <c r="E17" s="154">
        <f>C4</f>
        <v>0.2</v>
      </c>
      <c r="F17" s="155">
        <f>E17*G17</f>
        <v>8.0000000000000016E-2</v>
      </c>
      <c r="G17" s="162">
        <v>0.4</v>
      </c>
    </row>
    <row r="18" spans="1:7" x14ac:dyDescent="0.2">
      <c r="A18" s="107"/>
      <c r="B18" s="152">
        <f>Calc!A133</f>
        <v>1.24499E-2</v>
      </c>
      <c r="C18" s="154">
        <f>C3</f>
        <v>5</v>
      </c>
      <c r="D18" s="155">
        <f>C18*G17</f>
        <v>2</v>
      </c>
      <c r="E18" s="154">
        <f>C4</f>
        <v>0.2</v>
      </c>
      <c r="F18" s="155">
        <f>E18*G17</f>
        <v>8.0000000000000016E-2</v>
      </c>
    </row>
    <row r="19" spans="1:7" x14ac:dyDescent="0.2">
      <c r="A19" s="107"/>
      <c r="C19" s="156"/>
      <c r="D19" s="157"/>
      <c r="E19" s="156"/>
      <c r="F19" s="157"/>
    </row>
    <row r="20" spans="1:7" x14ac:dyDescent="0.2">
      <c r="A20" s="107"/>
      <c r="B20" s="144" t="s">
        <v>224</v>
      </c>
      <c r="C20" s="156"/>
      <c r="D20" s="157"/>
      <c r="E20" s="156"/>
      <c r="F20" s="157"/>
    </row>
    <row r="21" spans="1:7" x14ac:dyDescent="0.2">
      <c r="A21" s="107"/>
      <c r="B21" s="108" t="s">
        <v>225</v>
      </c>
      <c r="C21" s="158">
        <f>Calc!B150</f>
        <v>4.5625999999999998</v>
      </c>
      <c r="D21" s="157"/>
      <c r="E21" s="161">
        <f>Calc!B152</f>
        <v>0.20094600000000001</v>
      </c>
      <c r="F21" s="157"/>
    </row>
    <row r="22" spans="1:7" x14ac:dyDescent="0.2">
      <c r="A22" s="107"/>
      <c r="B22" s="108" t="s">
        <v>241</v>
      </c>
      <c r="C22" s="156" t="b">
        <f>AND(C21&gt;0.95*Command!C17,D3&lt;&gt;-1)</f>
        <v>0</v>
      </c>
      <c r="D22" s="157"/>
      <c r="E22" s="156" t="b">
        <f>IF(AnalysisMode = "Transient", FALSE, AND(E21&gt;0.95*E17,D4&lt;&gt;10))</f>
        <v>0</v>
      </c>
      <c r="F22" s="157"/>
    </row>
    <row r="23" spans="1:7" x14ac:dyDescent="0.2">
      <c r="A23" s="107"/>
      <c r="B23" s="108" t="s">
        <v>242</v>
      </c>
      <c r="C23" s="156" t="b">
        <f>AND(C21&lt;Command!D17,D3&lt;&gt;50)</f>
        <v>0</v>
      </c>
      <c r="D23" s="157"/>
      <c r="E23" s="156" t="b">
        <f>IF(AnalysisMode = "Transient", IF(D4&lt;&gt;50,TRUE,FALSE),AND(E21&lt;F17,D4&lt;&gt;50))</f>
        <v>0</v>
      </c>
      <c r="F23" s="157"/>
    </row>
    <row r="24" spans="1:7" x14ac:dyDescent="0.2">
      <c r="A24" s="107"/>
      <c r="B24" s="163"/>
      <c r="C24" s="156"/>
      <c r="D24" s="157"/>
      <c r="E24" s="156"/>
      <c r="F24" s="157"/>
      <c r="G24" s="105"/>
    </row>
    <row r="25" spans="1:7" x14ac:dyDescent="0.2">
      <c r="A25" s="107"/>
      <c r="B25" s="108"/>
      <c r="C25" s="159"/>
      <c r="D25" s="160"/>
      <c r="E25" s="159"/>
      <c r="F25" s="160"/>
      <c r="G25" s="105"/>
    </row>
    <row r="26" spans="1:7" x14ac:dyDescent="0.2">
      <c r="A26" s="107"/>
    </row>
    <row r="28" spans="1:7" x14ac:dyDescent="0.2">
      <c r="B28" s="34" t="s">
        <v>209</v>
      </c>
    </row>
    <row r="29" spans="1:7" x14ac:dyDescent="0.2">
      <c r="B29" s="103" t="b">
        <v>1</v>
      </c>
      <c r="D29" s="111" t="s">
        <v>189</v>
      </c>
      <c r="E29" s="111" t="s">
        <v>188</v>
      </c>
    </row>
    <row r="30" spans="1:7" x14ac:dyDescent="0.2">
      <c r="B30" s="103" t="b">
        <v>0</v>
      </c>
      <c r="D30" s="110">
        <v>0.2</v>
      </c>
      <c r="E30" s="110">
        <v>50</v>
      </c>
    </row>
    <row r="31" spans="1:7" x14ac:dyDescent="0.2">
      <c r="B31" s="34"/>
      <c r="D31" s="110">
        <v>0.5</v>
      </c>
      <c r="E31" s="110">
        <v>20</v>
      </c>
    </row>
    <row r="32" spans="1:7" x14ac:dyDescent="0.2">
      <c r="B32" s="64" t="s">
        <v>130</v>
      </c>
      <c r="D32" s="110">
        <v>1</v>
      </c>
      <c r="E32" s="110">
        <v>10</v>
      </c>
    </row>
    <row r="33" spans="2:5" x14ac:dyDescent="0.2">
      <c r="B33" s="64" t="s">
        <v>210</v>
      </c>
      <c r="D33" s="110">
        <v>2</v>
      </c>
      <c r="E33" s="110">
        <v>5</v>
      </c>
    </row>
    <row r="34" spans="2:5" x14ac:dyDescent="0.2">
      <c r="B34" s="64" t="s">
        <v>65</v>
      </c>
      <c r="D34" s="110">
        <v>5</v>
      </c>
      <c r="E34" s="110">
        <v>2</v>
      </c>
    </row>
    <row r="35" spans="2:5" x14ac:dyDescent="0.2">
      <c r="B35" s="34"/>
      <c r="D35" s="110">
        <v>10</v>
      </c>
      <c r="E35" s="110">
        <v>1</v>
      </c>
    </row>
    <row r="36" spans="2:5" x14ac:dyDescent="0.2">
      <c r="B36" s="64" t="s">
        <v>26</v>
      </c>
      <c r="D36" s="110">
        <v>20</v>
      </c>
      <c r="E36" s="110">
        <v>-1</v>
      </c>
    </row>
    <row r="37" spans="2:5" x14ac:dyDescent="0.2">
      <c r="B37" s="64" t="s">
        <v>211</v>
      </c>
      <c r="D37" s="110">
        <v>40</v>
      </c>
      <c r="E37" s="110">
        <v>-2</v>
      </c>
    </row>
  </sheetData>
  <phoneticPr fontId="0" type="noConversion"/>
  <dataValidations count="1">
    <dataValidation type="list" allowBlank="1" showInputMessage="1" showErrorMessage="1" sqref="C3:C5">
      <formula1>$D$30:$D$37</formula1>
    </dataValidation>
  </dataValidation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102</vt:i4>
      </vt:variant>
    </vt:vector>
  </HeadingPairs>
  <TitlesOfParts>
    <vt:vector size="107" baseType="lpstr">
      <vt:lpstr>User</vt:lpstr>
      <vt:lpstr>Settings</vt:lpstr>
      <vt:lpstr>Summary</vt:lpstr>
      <vt:lpstr>RawData</vt:lpstr>
      <vt:lpstr>Report</vt:lpstr>
      <vt:lpstr>A_cal</vt:lpstr>
      <vt:lpstr>AccessSummary</vt:lpstr>
      <vt:lpstr>AccessSummaryFN</vt:lpstr>
      <vt:lpstr>Air_Voltage</vt:lpstr>
      <vt:lpstr>AirVoltageError</vt:lpstr>
      <vt:lpstr>AirVoltageRange</vt:lpstr>
      <vt:lpstr>AirVStdev</vt:lpstr>
      <vt:lpstr>AnalysisMode</vt:lpstr>
      <vt:lpstr>AreaFrac</vt:lpstr>
      <vt:lpstr>Auger_Coefficient</vt:lpstr>
      <vt:lpstr>AutoRescale</vt:lpstr>
      <vt:lpstr>AutoSummary</vt:lpstr>
      <vt:lpstr>B_cal</vt:lpstr>
      <vt:lpstr>BaseGainFlag</vt:lpstr>
      <vt:lpstr>BiasLight</vt:lpstr>
      <vt:lpstr>BiasPtCD</vt:lpstr>
      <vt:lpstr>C_cal</vt:lpstr>
      <vt:lpstr>C_wafer</vt:lpstr>
      <vt:lpstr>CouplingMode</vt:lpstr>
      <vt:lpstr>Dark_Voltage</vt:lpstr>
      <vt:lpstr>ExcelAutosave</vt:lpstr>
      <vt:lpstr>ExcelSummary</vt:lpstr>
      <vt:lpstr>ExcelSummaryFN</vt:lpstr>
      <vt:lpstr>FirstPoint</vt:lpstr>
      <vt:lpstr>Fit_Range</vt:lpstr>
      <vt:lpstr>FitIntercept</vt:lpstr>
      <vt:lpstr>FitInterceptAuger</vt:lpstr>
      <vt:lpstr>FitRangeMax</vt:lpstr>
      <vt:lpstr>FitRangeMin</vt:lpstr>
      <vt:lpstr>FitSlope</vt:lpstr>
      <vt:lpstr>FitSlopeAuger</vt:lpstr>
      <vt:lpstr>flashWaitFlag</vt:lpstr>
      <vt:lpstr>ImpliedVoc1sun</vt:lpstr>
      <vt:lpstr>InputResistivity</vt:lpstr>
      <vt:lpstr>InstrumentSN</vt:lpstr>
      <vt:lpstr>InstrumentType</vt:lpstr>
      <vt:lpstr>IsLogged</vt:lpstr>
      <vt:lpstr>Jo</vt:lpstr>
      <vt:lpstr>LifetimeTextLabel</vt:lpstr>
      <vt:lpstr>LightBiasErrorMsg</vt:lpstr>
      <vt:lpstr>ltransientFlag</vt:lpstr>
      <vt:lpstr>MaxApparentCD</vt:lpstr>
      <vt:lpstr>MaxSuns</vt:lpstr>
      <vt:lpstr>MaxTauLimit</vt:lpstr>
      <vt:lpstr>MCDErrorMsg</vt:lpstr>
      <vt:lpstr>MeasDate</vt:lpstr>
      <vt:lpstr>MeasTime</vt:lpstr>
      <vt:lpstr>MeasureCmd</vt:lpstr>
      <vt:lpstr>MeasuredLifetime</vt:lpstr>
      <vt:lpstr>MeasuredLifetimeAuger</vt:lpstr>
      <vt:lpstr>MeasuredResistivity</vt:lpstr>
      <vt:lpstr>MinApparentCD</vt:lpstr>
      <vt:lpstr>MinTauLimit</vt:lpstr>
      <vt:lpstr>Mode_List</vt:lpstr>
      <vt:lpstr>ntransientFlag</vt:lpstr>
      <vt:lpstr>numflashes</vt:lpstr>
      <vt:lpstr>numFlashesFlag</vt:lpstr>
      <vt:lpstr>NumFlashesInitial</vt:lpstr>
      <vt:lpstr>OptConst</vt:lpstr>
      <vt:lpstr>PassFailMsg</vt:lpstr>
      <vt:lpstr>PathName</vt:lpstr>
      <vt:lpstr>PC_ZoomIn</vt:lpstr>
      <vt:lpstr>PC_ZoomOut</vt:lpstr>
      <vt:lpstr>PCGainFlag</vt:lpstr>
      <vt:lpstr>PCRange</vt:lpstr>
      <vt:lpstr>PCVoltageUpperBound</vt:lpstr>
      <vt:lpstr>PCVoltUpperBound</vt:lpstr>
      <vt:lpstr>PulseLength</vt:lpstr>
      <vt:lpstr>PulseLengthFlag</vt:lpstr>
      <vt:lpstr>QSSFlashDelay</vt:lpstr>
      <vt:lpstr>Ref_ZoomIn</vt:lpstr>
      <vt:lpstr>Ref_ZoomOut</vt:lpstr>
      <vt:lpstr>RefCellCal</vt:lpstr>
      <vt:lpstr>RefCellErrorMsg</vt:lpstr>
      <vt:lpstr>RefGainFlag</vt:lpstr>
      <vt:lpstr>RefRange</vt:lpstr>
      <vt:lpstr>RefVoltageUpperBound</vt:lpstr>
      <vt:lpstr>SampleDoping</vt:lpstr>
      <vt:lpstr>SampleNameUserSheet</vt:lpstr>
      <vt:lpstr>SampleType</vt:lpstr>
      <vt:lpstr>SheetResistance</vt:lpstr>
      <vt:lpstr>ShowUserForm</vt:lpstr>
      <vt:lpstr>SpecMCD</vt:lpstr>
      <vt:lpstr>SpecMCDminusTraps</vt:lpstr>
      <vt:lpstr>TauFitIntercept</vt:lpstr>
      <vt:lpstr>TauInvspecMCD</vt:lpstr>
      <vt:lpstr>TextSummary</vt:lpstr>
      <vt:lpstr>TextSummaryFN</vt:lpstr>
      <vt:lpstr>TF_List</vt:lpstr>
      <vt:lpstr>TF_PassFail</vt:lpstr>
      <vt:lpstr>Thickness</vt:lpstr>
      <vt:lpstr>TimeofMaxCD</vt:lpstr>
      <vt:lpstr>TimeScaleFlags</vt:lpstr>
      <vt:lpstr>TNumTaus</vt:lpstr>
      <vt:lpstr>TransFlashDelay</vt:lpstr>
      <vt:lpstr>Traps</vt:lpstr>
      <vt:lpstr>TSampleTime</vt:lpstr>
      <vt:lpstr>type_list</vt:lpstr>
      <vt:lpstr>VRangeList</vt:lpstr>
      <vt:lpstr>xferFlag</vt:lpstr>
      <vt:lpstr>ZeroInstrCmd</vt:lpstr>
      <vt:lpstr>ZeroInstTime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 Sinton</dc:creator>
  <cp:lastModifiedBy>Jowy</cp:lastModifiedBy>
  <cp:lastPrinted>2012-01-16T22:35:25Z</cp:lastPrinted>
  <dcterms:created xsi:type="dcterms:W3CDTF">1998-06-23T16:13:05Z</dcterms:created>
  <dcterms:modified xsi:type="dcterms:W3CDTF">2013-08-05T14:27:52Z</dcterms:modified>
</cp:coreProperties>
</file>